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eedfakhouri/Desktop/Supply-Chain-Inventory-Operational-Reporting-Dashboard/"/>
    </mc:Choice>
  </mc:AlternateContent>
  <xr:revisionPtr revIDLastSave="0" documentId="13_ncr:1_{F95D8DE2-003E-CC49-B97B-F17DC6CAC203}" xr6:coauthVersionLast="47" xr6:coauthVersionMax="47" xr10:uidLastSave="{00000000-0000-0000-0000-000000000000}"/>
  <bookViews>
    <workbookView xWindow="680" yWindow="660" windowWidth="28040" windowHeight="16660" firstSheet="1" activeTab="5" xr2:uid="{4FE54311-BF13-F042-BC2B-037294FBD249}"/>
  </bookViews>
  <sheets>
    <sheet name="InventairePQ" sheetId="2" r:id="rId1"/>
    <sheet name="CommandesPQ" sheetId="3" r:id="rId2"/>
    <sheet name="RéceptionsPQ" sheetId="4" r:id="rId3"/>
    <sheet name="DashboardOperationnel(KPI)" sheetId="1" r:id="rId4"/>
    <sheet name="Somme du Stock Actuel" sheetId="7" r:id="rId5"/>
    <sheet name="Répartition de niveaux de stock" sheetId="8" r:id="rId6"/>
    <sheet name="Répartition des commandes" sheetId="9" r:id="rId7"/>
    <sheet name="Produits Plus Commandés" sheetId="10" r:id="rId8"/>
  </sheets>
  <definedNames>
    <definedName name="ExternalData_1" localSheetId="1" hidden="1">'CommandesPQ'!$A$1:$F$101</definedName>
    <definedName name="ExternalData_1" localSheetId="0" hidden="1">InventairePQ!$A$1:$G$101</definedName>
    <definedName name="ExternalData_1" localSheetId="2" hidden="1">'RéceptionsPQ'!$A$1:$B$21</definedName>
  </definedNames>
  <calcPr calcId="191029"/>
  <pivotCaches>
    <pivotCache cacheId="93" r:id="rId9"/>
    <pivotCache cacheId="9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 a="1"/>
  <c r="D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DEA0D-FF44-5249-95CF-CE0D0DAD95B7}" keepAlive="1" name="Query - CommandesPQ" description="Connection to the 'CommandesPQ' query in the workbook." type="5" refreshedVersion="8" background="1" saveData="1">
    <dbPr connection="Provider=Microsoft.Mashup.OleDb.1;Data Source=$Workbook$;Location=CommandesPQ;Extended Properties=&quot;&quot;" command="SELECT * FROM [CommandesPQ]"/>
  </connection>
  <connection id="2" xr16:uid="{7388FCBE-1764-1E48-BA2E-3B6440D3EF04}" keepAlive="1" name="Query - InventairePQ" description="Connection to the 'InventairePQ' query in the workbook." type="5" refreshedVersion="8" background="1" saveData="1">
    <dbPr connection="Provider=Microsoft.Mashup.OleDb.1;Data Source=$Workbook$;Location=InventairePQ;Extended Properties=&quot;&quot;" command="SELECT * FROM [InventairePQ]"/>
  </connection>
  <connection id="3" xr16:uid="{F12F1734-F5DA-6E4B-BA27-BC33FA87AB56}" keepAlive="1" name="Query - RéceptionsPQ" description="Connection to the 'RéceptionsPQ' query in the workbook." type="5" refreshedVersion="8" background="1" saveData="1">
    <dbPr connection="Provider=Microsoft.Mashup.OleDb.1;Data Source=$Workbook$;Location=RéceptionsPQ;Extended Properties=&quot;&quot;" command="SELECT * FROM [RéceptionsPQ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<sst xmlns="http://schemas.openxmlformats.org/spreadsheetml/2006/main" count="790" uniqueCount="99">
  <si>
    <t>ProduitID</t>
  </si>
  <si>
    <t>Produit</t>
  </si>
  <si>
    <t>Categorie</t>
  </si>
  <si>
    <t>Emplacement</t>
  </si>
  <si>
    <t>StockActuel</t>
  </si>
  <si>
    <t>StockMinimum</t>
  </si>
  <si>
    <t>StatutStock</t>
  </si>
  <si>
    <t>Perceuse</t>
  </si>
  <si>
    <t>Outils électriques</t>
  </si>
  <si>
    <t>B1</t>
  </si>
  <si>
    <t>Stock Normal</t>
  </si>
  <si>
    <t>Scie</t>
  </si>
  <si>
    <t>Outils</t>
  </si>
  <si>
    <t>C2</t>
  </si>
  <si>
    <t>Stock Critique</t>
  </si>
  <si>
    <t>Boyau d'arrosage</t>
  </si>
  <si>
    <t>Jardin</t>
  </si>
  <si>
    <t>F1</t>
  </si>
  <si>
    <t>Clous</t>
  </si>
  <si>
    <t>Quincaillerie</t>
  </si>
  <si>
    <t>A1</t>
  </si>
  <si>
    <t>Stock Faible</t>
  </si>
  <si>
    <t>C5</t>
  </si>
  <si>
    <t>F2</t>
  </si>
  <si>
    <t>C4</t>
  </si>
  <si>
    <t>Marteau</t>
  </si>
  <si>
    <t>A2</t>
  </si>
  <si>
    <t>Ruban à mesurer</t>
  </si>
  <si>
    <t>Lunettes de sécurité</t>
  </si>
  <si>
    <t>Sécurité</t>
  </si>
  <si>
    <t>D3</t>
  </si>
  <si>
    <t>A4</t>
  </si>
  <si>
    <t>Rouleau peinture</t>
  </si>
  <si>
    <t>Peinture</t>
  </si>
  <si>
    <t>E1</t>
  </si>
  <si>
    <t>Sac de terre</t>
  </si>
  <si>
    <t>G3</t>
  </si>
  <si>
    <t>Vis</t>
  </si>
  <si>
    <t>C1</t>
  </si>
  <si>
    <t>Tournevis</t>
  </si>
  <si>
    <t>B5</t>
  </si>
  <si>
    <t>Cadenas</t>
  </si>
  <si>
    <t>E4</t>
  </si>
  <si>
    <t>Gants de travail</t>
  </si>
  <si>
    <t>D2</t>
  </si>
  <si>
    <t>E2</t>
  </si>
  <si>
    <t>Pelle</t>
  </si>
  <si>
    <t>G4</t>
  </si>
  <si>
    <t>Ampoule LED</t>
  </si>
  <si>
    <t>Électricité</t>
  </si>
  <si>
    <t>Peinture blanche</t>
  </si>
  <si>
    <t>B2</t>
  </si>
  <si>
    <t>E5</t>
  </si>
  <si>
    <t>D1</t>
  </si>
  <si>
    <t>B4</t>
  </si>
  <si>
    <t>B3</t>
  </si>
  <si>
    <t>Échelle</t>
  </si>
  <si>
    <t>Matériel</t>
  </si>
  <si>
    <t>F5</t>
  </si>
  <si>
    <t>D4</t>
  </si>
  <si>
    <t>Pince</t>
  </si>
  <si>
    <t>Rallonge électrique</t>
  </si>
  <si>
    <t>F4</t>
  </si>
  <si>
    <t>G5</t>
  </si>
  <si>
    <t>Pinceau</t>
  </si>
  <si>
    <t>E3</t>
  </si>
  <si>
    <t>C3</t>
  </si>
  <si>
    <t>A5</t>
  </si>
  <si>
    <t>G1</t>
  </si>
  <si>
    <t>F3</t>
  </si>
  <si>
    <t>D5</t>
  </si>
  <si>
    <t>G2</t>
  </si>
  <si>
    <t>CommandeID</t>
  </si>
  <si>
    <t>DateCommande</t>
  </si>
  <si>
    <t>QuantiteCommandee</t>
  </si>
  <si>
    <t>Statut</t>
  </si>
  <si>
    <t>Priorité Commande</t>
  </si>
  <si>
    <t>livrée</t>
  </si>
  <si>
    <t>N / A</t>
  </si>
  <si>
    <t>En cours</t>
  </si>
  <si>
    <t>Priorité Normale</t>
  </si>
  <si>
    <t>En retard</t>
  </si>
  <si>
    <t>Haute Priorité</t>
  </si>
  <si>
    <t>Total Reçu</t>
  </si>
  <si>
    <t>Indicateurs de Performance</t>
  </si>
  <si>
    <t>Valeur</t>
  </si>
  <si>
    <t>KPI #1 - Nombre Total de Produits</t>
  </si>
  <si>
    <t>KPI #2 - Produits en Quantité Critique</t>
  </si>
  <si>
    <t>KPI #3 - Produits en Faible Quantité</t>
  </si>
  <si>
    <t>KPI #4 - Commandes en Retard</t>
  </si>
  <si>
    <t>KPI #5 - Commandes en Haute Priorité</t>
  </si>
  <si>
    <t>KPI #6 - Quantité Totale Commandée</t>
  </si>
  <si>
    <t>KPI #7 - Quantité Totale Reçue</t>
  </si>
  <si>
    <t>Grand Total</t>
  </si>
  <si>
    <t>Valeurs</t>
  </si>
  <si>
    <t>Somme du Stock Actuel</t>
  </si>
  <si>
    <t>Nombre des commandes</t>
  </si>
  <si>
    <t>Quantitée Commandée</t>
  </si>
  <si>
    <t>Quantité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</si>
</sst>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1">
    <cellStyle name="Normal" xfId="0" builtinId="0"/>
  </cellStyles>
  <dxfs count="5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[Supply-Chain-Inventory-Operational-Reporting-Dashboard.xlsx]Somme du Stock Actuel!PivotTable2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Stock Total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'Somme du Stock Actuel'!$B$3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'Somme du Stock Actuel'!$A$4:$A$12</c:f>
              <c:strCache>
                <c:ptCount val="8"/>
                <c:pt idx="0">
                  <c:v>Électricité</c:v>
                </c:pt>
                <c:pt idx="1">
                  <c:v>Jardin</c:v>
                </c:pt>
                <c:pt idx="2">
                  <c:v>Matériel</c:v>
                </c:pt>
                <c:pt idx="3">
                  <c:v>Outils</c:v>
                </c:pt>
                <c:pt idx="4">
                  <c:v>Outils électriques</c:v>
                </c:pt>
                <c:pt idx="5">
                  <c:v>Peinture</c:v>
                </c:pt>
                <c:pt idx="6">
                  <c:v>Quincaillerie</c:v>
                </c:pt>
                <c:pt idx="7">
                  <c:v>Sécurité</c:v>
                </c:pt>
              </c:strCache>
            </c:strRef>
          </c:cat>
          <c:val>
            <c:numRef>
              <c:f>'Somme du Stock Actuel'!$B$4:$B$12</c:f>
              <c:numCache>
                <c:formatCode>General</c:formatCode>
                <c:ptCount val="8"/>
                <c:pt idx="0">
                  <c:v>400</c:v>
                </c:pt>
                <c:pt idx="1">
                  <c:v>1164</c:v>
                </c:pt>
                <c:pt idx="2">
                  <c:v>315</c:v>
                </c:pt>
                <c:pt idx="3">
                  <c:v>2974</c:v>
                </c:pt>
                <c:pt idx="4">
                  <c:v>681</c:v>
                </c:pt>
                <c:pt idx="5">
                  <c:v>968</c:v>
                </c:pt>
                <c:pt idx="6">
                  <c:v>1174</c:v>
                </c:pt>
                <c:pt idx="7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D-2F4D-A296-357319261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879744"/>
        <c:axId val="491867648"/>
      </c:barChart>
      <c:catAx>
        <c:axId val="4918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67648"/>
        <c:crosses val="autoZero"/>
        <c:auto val="1"/>
        <c:lblAlgn val="ctr"/>
        <c:lblOffset val="100"/>
        <c:noMultiLvlLbl val="0"/>
      </c:catAx>
      <c:valAx>
        <c:axId val="4918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[Supply-Chain-Inventory-Operational-Reporting-Dashboard.xlsx]Répartition de niveaux de stock!PivotTable3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des niveaux de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'Répartition de niveaux de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'Répartition de niveaux de stock'!$A$4:$A$7</c:f>
              <c:strCache>
                <c:ptCount val="3"/>
                <c:pt idx="0">
                  <c:v>Stock Critique</c:v>
                </c:pt>
                <c:pt idx="1">
                  <c:v>Stock Faible</c:v>
                </c:pt>
                <c:pt idx="2">
                  <c:v>Stock Normal</c:v>
                </c:pt>
              </c:strCache>
            </c:strRef>
          </c:cat>
          <c:val>
            <c:numRef>
              <c:f>'Répartition de niveaux de stock'!$B$4:$B$7</c:f>
              <c:numCache>
                <c:formatCode>General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B-A344-BF82-968FC8DA6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721216"/>
        <c:axId val="534719872"/>
      </c:barChart>
      <c:catAx>
        <c:axId val="5347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19872"/>
        <c:crosses val="autoZero"/>
        <c:auto val="1"/>
        <c:lblAlgn val="ctr"/>
        <c:lblOffset val="100"/>
        <c:noMultiLvlLbl val="0"/>
      </c:catAx>
      <c:valAx>
        <c:axId val="5347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[Supply-Chain-Inventory-Operational-Reporting-Dashboard.xlsx]Répartition des commandes!PivotTable4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des commandes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'Répartition des commandes'!$B$3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'Répartition des commandes'!$A$4:$A$7</c:f>
              <c:strCache>
                <c:ptCount val="3"/>
                <c:pt idx="0">
                  <c:v>En cours</c:v>
                </c:pt>
                <c:pt idx="1">
                  <c:v>En retard</c:v>
                </c:pt>
                <c:pt idx="2">
                  <c:v>livrée</c:v>
                </c:pt>
              </c:strCache>
            </c:strRef>
          </c:cat>
          <c:val>
            <c:numRef>
              <c:f>'Répartition des commandes'!$B$4:$B$7</c:f>
              <c:numCache>
                <c:formatCode>General</c:formatCode>
                <c:ptCount val="3"/>
                <c:pt idx="0">
                  <c:v>37</c:v>
                </c:pt>
                <c:pt idx="1">
                  <c:v>21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C-AB43-8C4C-64278359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542656"/>
        <c:axId val="535543104"/>
      </c:barChart>
      <c:catAx>
        <c:axId val="5355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43104"/>
        <c:crosses val="autoZero"/>
        <c:auto val="1"/>
        <c:lblAlgn val="ctr"/>
        <c:lblOffset val="100"/>
        <c:noMultiLvlLbl val="0"/>
      </c:catAx>
      <c:valAx>
        <c:axId val="5355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4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[Supply-Chain-Inventory-Operational-Reporting-Dashboard.xlsx]Produits Plus Commandés!PivotTable6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Produits Plus Commandés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'Produits Plus Commandés'!$B$3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'Produits Plus Commandés'!$A$4:$A$24</c:f>
              <c:strCache>
                <c:ptCount val="20"/>
                <c:pt idx="0">
                  <c:v>Gants de travail</c:v>
                </c:pt>
                <c:pt idx="1">
                  <c:v>Échelle</c:v>
                </c:pt>
                <c:pt idx="2">
                  <c:v>Scie</c:v>
                </c:pt>
                <c:pt idx="3">
                  <c:v>Ruban à mesurer</c:v>
                </c:pt>
                <c:pt idx="4">
                  <c:v>Lunettes de sécurité</c:v>
                </c:pt>
                <c:pt idx="5">
                  <c:v>Pelle</c:v>
                </c:pt>
                <c:pt idx="6">
                  <c:v>Rouleau peinture</c:v>
                </c:pt>
                <c:pt idx="7">
                  <c:v>Marteau</c:v>
                </c:pt>
                <c:pt idx="8">
                  <c:v>Ampoule LED</c:v>
                </c:pt>
                <c:pt idx="9">
                  <c:v>Rallonge électrique</c:v>
                </c:pt>
                <c:pt idx="10">
                  <c:v>Pinceau</c:v>
                </c:pt>
                <c:pt idx="11">
                  <c:v>Peinture blanche</c:v>
                </c:pt>
                <c:pt idx="12">
                  <c:v>Perceuse</c:v>
                </c:pt>
                <c:pt idx="13">
                  <c:v>Boyau d'arrosage</c:v>
                </c:pt>
                <c:pt idx="14">
                  <c:v>Vis</c:v>
                </c:pt>
                <c:pt idx="15">
                  <c:v>Cadenas</c:v>
                </c:pt>
                <c:pt idx="16">
                  <c:v>Clous</c:v>
                </c:pt>
                <c:pt idx="17">
                  <c:v>Sac de terre</c:v>
                </c:pt>
                <c:pt idx="18">
                  <c:v>Pince</c:v>
                </c:pt>
                <c:pt idx="19">
                  <c:v>Tournevis</c:v>
                </c:pt>
              </c:strCache>
            </c:strRef>
          </c:cat>
          <c:val>
            <c:numRef>
              <c:f>'Produits Plus Commandés'!$B$4:$B$24</c:f>
              <c:numCache>
                <c:formatCode>General</c:formatCode>
                <c:ptCount val="20"/>
                <c:pt idx="0">
                  <c:v>417</c:v>
                </c:pt>
                <c:pt idx="1">
                  <c:v>399</c:v>
                </c:pt>
                <c:pt idx="2">
                  <c:v>364</c:v>
                </c:pt>
                <c:pt idx="3">
                  <c:v>283</c:v>
                </c:pt>
                <c:pt idx="4">
                  <c:v>280</c:v>
                </c:pt>
                <c:pt idx="5">
                  <c:v>278</c:v>
                </c:pt>
                <c:pt idx="6">
                  <c:v>277</c:v>
                </c:pt>
                <c:pt idx="7">
                  <c:v>254</c:v>
                </c:pt>
                <c:pt idx="8">
                  <c:v>253</c:v>
                </c:pt>
                <c:pt idx="9">
                  <c:v>226</c:v>
                </c:pt>
                <c:pt idx="10">
                  <c:v>202</c:v>
                </c:pt>
                <c:pt idx="11">
                  <c:v>184</c:v>
                </c:pt>
                <c:pt idx="12">
                  <c:v>176</c:v>
                </c:pt>
                <c:pt idx="13">
                  <c:v>173</c:v>
                </c:pt>
                <c:pt idx="14">
                  <c:v>145</c:v>
                </c:pt>
                <c:pt idx="15">
                  <c:v>139</c:v>
                </c:pt>
                <c:pt idx="16">
                  <c:v>119</c:v>
                </c:pt>
                <c:pt idx="17">
                  <c:v>89</c:v>
                </c:pt>
                <c:pt idx="18">
                  <c:v>87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2-CF42-85E9-B64D795DA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52544"/>
        <c:axId val="552251648"/>
      </c:barChart>
      <c:catAx>
        <c:axId val="5522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1648"/>
        <c:crosses val="autoZero"/>
        <c:auto val="1"/>
        <c:lblAlgn val="ctr"/>
        <c:lblOffset val="100"/>
        <c:noMultiLvlLbl val="0"/>
      </c:catAx>
      <c:valAx>
        <c:axId val="5522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0</xdr:rowOff>
    </xdr:from>
    <xdr:to>
      <xdr:col>8</xdr:col>
      <xdr:colOff>450850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4D312-2FF0-1BFC-1A13-21968448D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2</xdr:row>
      <xdr:rowOff>19050</xdr:rowOff>
    </xdr:from>
    <xdr:to>
      <xdr:col>8</xdr:col>
      <xdr:colOff>158750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1BA1A-25CD-59DE-F5E0-DF6C1B4FD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1</xdr:row>
      <xdr:rowOff>196850</xdr:rowOff>
    </xdr:from>
    <xdr:to>
      <xdr:col>7</xdr:col>
      <xdr:colOff>736600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50810-7F8D-7260-E971-B115B818D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2</xdr:row>
      <xdr:rowOff>19050</xdr:rowOff>
    </xdr:from>
    <xdr:to>
      <xdr:col>10</xdr:col>
      <xdr:colOff>190500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39143-FA06-221D-FAFC-47D052846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ed Fakhouri" refreshedDate="46183.703009375" createdVersion="8" refreshedVersion="8" minRefreshableVersion="3" recordCount="100" xr:uid="{920C0D50-11DF-6444-AA4C-BD561A3F4FCB}">
  <cacheSource type="worksheet">
    <worksheetSource name="InventairePQ"/>
  </cacheSource>
  <cacheFields count="7">
    <cacheField name="ProduitID" numFmtId="0">
      <sharedItems containsSemiMixedTypes="0" containsString="0" containsNumber="1" containsInteger="1" minValue="1" maxValue="20"/>
    </cacheField>
    <cacheField name="Produit" numFmtId="0">
      <sharedItems count="20">
        <s v="Perceuse"/>
        <s v="Scie"/>
        <s v="Boyau d'arrosage"/>
        <s v="Clous"/>
        <s v="Marteau"/>
        <s v="Ruban à mesurer"/>
        <s v="Lunettes de sécurité"/>
        <s v="Rouleau peinture"/>
        <s v="Sac de terre"/>
        <s v="Vis"/>
        <s v="Tournevis"/>
        <s v="Cadenas"/>
        <s v="Gants de travail"/>
        <s v="Pelle"/>
        <s v="Ampoule LED"/>
        <s v="Peinture blanche"/>
        <s v="Échelle"/>
        <s v="Pince"/>
        <s v="Rallonge électrique"/>
        <s v="Pinceau"/>
      </sharedItems>
    </cacheField>
    <cacheField name="Categorie" numFmtId="0">
      <sharedItems count="8">
        <s v="Outils électriques"/>
        <s v="Outils"/>
        <s v="Jardin"/>
        <s v="Quincaillerie"/>
        <s v="Sécurité"/>
        <s v="Peinture"/>
        <s v="Électricité"/>
        <s v="Matériel"/>
      </sharedItems>
    </cacheField>
    <cacheField name="Emplacement" numFmtId="0">
      <sharedItems/>
    </cacheField>
    <cacheField name="StockActuel" numFmtId="0">
      <sharedItems containsSemiMixedTypes="0" containsString="0" containsNumber="1" containsInteger="1" minValue="0" maxValue="159"/>
    </cacheField>
    <cacheField name="StockMinimum" numFmtId="0">
      <sharedItems containsSemiMixedTypes="0" containsString="0" containsNumber="1" containsInteger="1" minValue="10" maxValue="35"/>
    </cacheField>
    <cacheField name="StatutStock" numFmtId="0">
      <sharedItems count="3">
        <s v="Stock Normal"/>
        <s v="Stock Critique"/>
        <s v="Stock Fai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ed Fakhouri" refreshedDate="46183.706154861109" createdVersion="8" refreshedVersion="8" minRefreshableVersion="3" recordCount="100" xr:uid="{649B7B11-943E-D240-9F27-5E69F9CF441E}">
  <cacheSource type="worksheet">
    <worksheetSource name="CommandesPQ"/>
  </cacheSource>
  <cacheFields count="8">
    <cacheField name="CommandeID" numFmtId="0">
      <sharedItems containsSemiMixedTypes="0" containsString="0" containsNumber="1" containsInteger="1" minValue="1001" maxValue="1100"/>
    </cacheField>
    <cacheField name="DateCommande" numFmtId="14">
      <sharedItems containsSemiMixedTypes="0" containsNonDate="0" containsDate="1" containsString="0" minDate="2026-05-02T00:00:00" maxDate="2026-06-06T00:00:00" count="35">
        <d v="2026-05-09T00:00:00"/>
        <d v="2026-05-23T00:00:00"/>
        <d v="2026-05-10T00:00:00"/>
        <d v="2026-05-27T00:00:00"/>
        <d v="2026-05-18T00:00:00"/>
        <d v="2026-05-25T00:00:00"/>
        <d v="2026-05-13T00:00:00"/>
        <d v="2026-05-15T00:00:00"/>
        <d v="2026-05-22T00:00:00"/>
        <d v="2026-05-12T00:00:00"/>
        <d v="2026-05-03T00:00:00"/>
        <d v="2026-05-21T00:00:00"/>
        <d v="2026-05-08T00:00:00"/>
        <d v="2026-05-17T00:00:00"/>
        <d v="2026-06-03T00:00:00"/>
        <d v="2026-05-24T00:00:00"/>
        <d v="2026-06-02T00:00:00"/>
        <d v="2026-05-26T00:00:00"/>
        <d v="2026-06-05T00:00:00"/>
        <d v="2026-05-28T00:00:00"/>
        <d v="2026-05-30T00:00:00"/>
        <d v="2026-05-06T00:00:00"/>
        <d v="2026-05-20T00:00:00"/>
        <d v="2026-05-02T00:00:00"/>
        <d v="2026-05-05T00:00:00"/>
        <d v="2026-05-16T00:00:00"/>
        <d v="2026-05-07T00:00:00"/>
        <d v="2026-05-29T00:00:00"/>
        <d v="2026-05-14T00:00:00"/>
        <d v="2026-06-04T00:00:00"/>
        <d v="2026-06-01T00:00:00"/>
        <d v="2026-05-11T00:00:00"/>
        <d v="2026-05-04T00:00:00"/>
        <d v="2026-05-31T00:00:00"/>
        <d v="2026-05-19T00:00:00"/>
      </sharedItems>
      <fieldGroup par="7"/>
    </cacheField>
    <cacheField name="Produit" numFmtId="0">
      <sharedItems count="20">
        <s v="Pinceau"/>
        <s v="Clous"/>
        <s v="Perceuse"/>
        <s v="Tournevis"/>
        <s v="Gants de travail"/>
        <s v="Scie"/>
        <s v="Rouleau peinture"/>
        <s v="Ruban à mesurer"/>
        <s v="Boyau d'arrosage"/>
        <s v="Lunettes de sécurité"/>
        <s v="Rallonge électrique"/>
        <s v="Échelle"/>
        <s v="Marteau"/>
        <s v="Pince"/>
        <s v="Peinture blanche"/>
        <s v="Sac de terre"/>
        <s v="Ampoule LED"/>
        <s v="Pelle"/>
        <s v="Cadenas"/>
        <s v="Vis"/>
      </sharedItems>
    </cacheField>
    <cacheField name="QuantiteCommandee" numFmtId="0">
      <sharedItems containsSemiMixedTypes="0" containsString="0" containsNumber="1" containsInteger="1" minValue="1" maxValue="90"/>
    </cacheField>
    <cacheField name="Statut" numFmtId="0">
      <sharedItems count="3">
        <s v="livrée"/>
        <s v="En cours"/>
        <s v="En retard"/>
      </sharedItems>
    </cacheField>
    <cacheField name="Priorité Commande" numFmtId="0">
      <sharedItems/>
    </cacheField>
    <cacheField name="Days (DateCommande)" numFmtId="0" databaseField="0">
      <fieldGroup base="1">
        <rangePr groupBy="days" startDate="2026-05-02T00:00:00" endDate="2026-06-06T00:00:00"/>
        <groupItems count="368">
          <s v="&lt;2026-05-0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6-06"/>
        </groupItems>
      </fieldGroup>
    </cacheField>
    <cacheField name="Months (DateCommande)" numFmtId="0" databaseField="0">
      <fieldGroup base="1">
        <rangePr groupBy="months" startDate="2026-05-02T00:00:00" endDate="2026-06-06T00:00:00"/>
        <groupItems count="14">
          <s v="&lt;2026-05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6-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4"/>
    <x v="0"/>
    <x v="0"/>
    <s v="B1"/>
    <n v="70"/>
    <n v="15"/>
    <x v="0"/>
  </r>
  <r>
    <n v="8"/>
    <x v="1"/>
    <x v="1"/>
    <s v="C2"/>
    <n v="26"/>
    <n v="35"/>
    <x v="1"/>
  </r>
  <r>
    <n v="18"/>
    <x v="2"/>
    <x v="2"/>
    <s v="F1"/>
    <n v="151"/>
    <n v="25"/>
    <x v="0"/>
  </r>
  <r>
    <n v="2"/>
    <x v="3"/>
    <x v="3"/>
    <s v="A1"/>
    <n v="23"/>
    <n v="15"/>
    <x v="2"/>
  </r>
  <r>
    <n v="8"/>
    <x v="1"/>
    <x v="1"/>
    <s v="C5"/>
    <n v="154"/>
    <n v="10"/>
    <x v="0"/>
  </r>
  <r>
    <n v="18"/>
    <x v="2"/>
    <x v="2"/>
    <s v="F2"/>
    <n v="139"/>
    <n v="25"/>
    <x v="0"/>
  </r>
  <r>
    <n v="8"/>
    <x v="1"/>
    <x v="1"/>
    <s v="C4"/>
    <n v="150"/>
    <n v="20"/>
    <x v="0"/>
  </r>
  <r>
    <n v="1"/>
    <x v="4"/>
    <x v="1"/>
    <s v="A2"/>
    <n v="108"/>
    <n v="20"/>
    <x v="0"/>
  </r>
  <r>
    <n v="9"/>
    <x v="5"/>
    <x v="1"/>
    <s v="C2"/>
    <n v="55"/>
    <n v="20"/>
    <x v="0"/>
  </r>
  <r>
    <n v="4"/>
    <x v="0"/>
    <x v="0"/>
    <s v="B1"/>
    <n v="97"/>
    <n v="10"/>
    <x v="0"/>
  </r>
  <r>
    <n v="12"/>
    <x v="6"/>
    <x v="4"/>
    <s v="D3"/>
    <n v="154"/>
    <n v="20"/>
    <x v="0"/>
  </r>
  <r>
    <n v="2"/>
    <x v="3"/>
    <x v="3"/>
    <s v="A4"/>
    <n v="137"/>
    <n v="10"/>
    <x v="0"/>
  </r>
  <r>
    <n v="13"/>
    <x v="7"/>
    <x v="5"/>
    <s v="E1"/>
    <n v="141"/>
    <n v="20"/>
    <x v="0"/>
  </r>
  <r>
    <n v="20"/>
    <x v="8"/>
    <x v="2"/>
    <s v="G3"/>
    <n v="147"/>
    <n v="15"/>
    <x v="0"/>
  </r>
  <r>
    <n v="3"/>
    <x v="9"/>
    <x v="3"/>
    <s v="A1"/>
    <n v="58"/>
    <n v="20"/>
    <x v="0"/>
  </r>
  <r>
    <n v="3"/>
    <x v="9"/>
    <x v="3"/>
    <s v="A2"/>
    <n v="25"/>
    <n v="25"/>
    <x v="1"/>
  </r>
  <r>
    <n v="9"/>
    <x v="5"/>
    <x v="1"/>
    <s v="C4"/>
    <n v="93"/>
    <n v="15"/>
    <x v="0"/>
  </r>
  <r>
    <n v="12"/>
    <x v="6"/>
    <x v="4"/>
    <s v="D3"/>
    <n v="53"/>
    <n v="35"/>
    <x v="0"/>
  </r>
  <r>
    <n v="9"/>
    <x v="5"/>
    <x v="1"/>
    <s v="C1"/>
    <n v="155"/>
    <n v="35"/>
    <x v="0"/>
  </r>
  <r>
    <n v="6"/>
    <x v="10"/>
    <x v="1"/>
    <s v="B5"/>
    <n v="62"/>
    <n v="15"/>
    <x v="0"/>
  </r>
  <r>
    <n v="15"/>
    <x v="11"/>
    <x v="3"/>
    <s v="E4"/>
    <n v="69"/>
    <n v="35"/>
    <x v="0"/>
  </r>
  <r>
    <n v="18"/>
    <x v="2"/>
    <x v="2"/>
    <s v="F2"/>
    <n v="83"/>
    <n v="10"/>
    <x v="0"/>
  </r>
  <r>
    <n v="8"/>
    <x v="1"/>
    <x v="1"/>
    <s v="C1"/>
    <n v="80"/>
    <n v="25"/>
    <x v="0"/>
  </r>
  <r>
    <n v="9"/>
    <x v="5"/>
    <x v="1"/>
    <s v="C1"/>
    <n v="54"/>
    <n v="30"/>
    <x v="0"/>
  </r>
  <r>
    <n v="11"/>
    <x v="12"/>
    <x v="4"/>
    <s v="D2"/>
    <n v="127"/>
    <n v="25"/>
    <x v="0"/>
  </r>
  <r>
    <n v="15"/>
    <x v="11"/>
    <x v="3"/>
    <s v="E2"/>
    <n v="67"/>
    <n v="15"/>
    <x v="0"/>
  </r>
  <r>
    <n v="8"/>
    <x v="1"/>
    <x v="1"/>
    <s v="C5"/>
    <n v="137"/>
    <n v="20"/>
    <x v="0"/>
  </r>
  <r>
    <n v="19"/>
    <x v="13"/>
    <x v="2"/>
    <s v="G4"/>
    <n v="149"/>
    <n v="25"/>
    <x v="0"/>
  </r>
  <r>
    <n v="12"/>
    <x v="6"/>
    <x v="4"/>
    <s v="D2"/>
    <n v="35"/>
    <n v="30"/>
    <x v="0"/>
  </r>
  <r>
    <n v="16"/>
    <x v="14"/>
    <x v="6"/>
    <s v="F1"/>
    <n v="12"/>
    <n v="10"/>
    <x v="2"/>
  </r>
  <r>
    <n v="5"/>
    <x v="15"/>
    <x v="5"/>
    <s v="B2"/>
    <n v="108"/>
    <n v="30"/>
    <x v="0"/>
  </r>
  <r>
    <n v="3"/>
    <x v="9"/>
    <x v="3"/>
    <s v="A4"/>
    <n v="97"/>
    <n v="30"/>
    <x v="0"/>
  </r>
  <r>
    <n v="15"/>
    <x v="11"/>
    <x v="3"/>
    <s v="E5"/>
    <n v="64"/>
    <n v="30"/>
    <x v="0"/>
  </r>
  <r>
    <n v="1"/>
    <x v="4"/>
    <x v="1"/>
    <s v="A1"/>
    <n v="137"/>
    <n v="20"/>
    <x v="0"/>
  </r>
  <r>
    <n v="11"/>
    <x v="12"/>
    <x v="4"/>
    <s v="D1"/>
    <n v="75"/>
    <n v="25"/>
    <x v="0"/>
  </r>
  <r>
    <n v="6"/>
    <x v="10"/>
    <x v="1"/>
    <s v="B4"/>
    <n v="0"/>
    <n v="35"/>
    <x v="1"/>
  </r>
  <r>
    <n v="9"/>
    <x v="5"/>
    <x v="1"/>
    <s v="C5"/>
    <n v="45"/>
    <n v="30"/>
    <x v="0"/>
  </r>
  <r>
    <n v="4"/>
    <x v="0"/>
    <x v="0"/>
    <s v="B3"/>
    <n v="129"/>
    <n v="30"/>
    <x v="0"/>
  </r>
  <r>
    <n v="7"/>
    <x v="16"/>
    <x v="7"/>
    <s v="C2"/>
    <n v="95"/>
    <n v="15"/>
    <x v="0"/>
  </r>
  <r>
    <n v="18"/>
    <x v="2"/>
    <x v="2"/>
    <s v="F5"/>
    <n v="0"/>
    <n v="30"/>
    <x v="1"/>
  </r>
  <r>
    <n v="11"/>
    <x v="12"/>
    <x v="4"/>
    <s v="D4"/>
    <n v="4"/>
    <n v="10"/>
    <x v="1"/>
  </r>
  <r>
    <n v="12"/>
    <x v="6"/>
    <x v="4"/>
    <s v="D3"/>
    <n v="61"/>
    <n v="10"/>
    <x v="0"/>
  </r>
  <r>
    <n v="8"/>
    <x v="1"/>
    <x v="1"/>
    <s v="C5"/>
    <n v="20"/>
    <n v="10"/>
    <x v="2"/>
  </r>
  <r>
    <n v="16"/>
    <x v="14"/>
    <x v="6"/>
    <s v="F1"/>
    <n v="136"/>
    <n v="15"/>
    <x v="0"/>
  </r>
  <r>
    <n v="5"/>
    <x v="15"/>
    <x v="5"/>
    <s v="B4"/>
    <n v="140"/>
    <n v="15"/>
    <x v="0"/>
  </r>
  <r>
    <n v="9"/>
    <x v="5"/>
    <x v="1"/>
    <s v="C5"/>
    <n v="155"/>
    <n v="25"/>
    <x v="0"/>
  </r>
  <r>
    <n v="7"/>
    <x v="16"/>
    <x v="7"/>
    <s v="C5"/>
    <n v="51"/>
    <n v="35"/>
    <x v="0"/>
  </r>
  <r>
    <n v="10"/>
    <x v="17"/>
    <x v="1"/>
    <s v="D4"/>
    <n v="95"/>
    <n v="25"/>
    <x v="0"/>
  </r>
  <r>
    <n v="17"/>
    <x v="18"/>
    <x v="6"/>
    <s v="F4"/>
    <n v="30"/>
    <n v="15"/>
    <x v="0"/>
  </r>
  <r>
    <n v="8"/>
    <x v="1"/>
    <x v="1"/>
    <s v="C1"/>
    <n v="86"/>
    <n v="10"/>
    <x v="0"/>
  </r>
  <r>
    <n v="19"/>
    <x v="13"/>
    <x v="2"/>
    <s v="G5"/>
    <n v="58"/>
    <n v="30"/>
    <x v="0"/>
  </r>
  <r>
    <n v="8"/>
    <x v="1"/>
    <x v="1"/>
    <s v="C1"/>
    <n v="18"/>
    <n v="35"/>
    <x v="1"/>
  </r>
  <r>
    <n v="2"/>
    <x v="3"/>
    <x v="3"/>
    <s v="A2"/>
    <n v="17"/>
    <n v="10"/>
    <x v="2"/>
  </r>
  <r>
    <n v="11"/>
    <x v="12"/>
    <x v="4"/>
    <s v="D1"/>
    <n v="131"/>
    <n v="15"/>
    <x v="0"/>
  </r>
  <r>
    <n v="9"/>
    <x v="5"/>
    <x v="1"/>
    <s v="C4"/>
    <n v="54"/>
    <n v="30"/>
    <x v="0"/>
  </r>
  <r>
    <n v="5"/>
    <x v="15"/>
    <x v="5"/>
    <s v="B5"/>
    <n v="147"/>
    <n v="25"/>
    <x v="0"/>
  </r>
  <r>
    <n v="8"/>
    <x v="1"/>
    <x v="1"/>
    <s v="C4"/>
    <n v="104"/>
    <n v="15"/>
    <x v="0"/>
  </r>
  <r>
    <n v="4"/>
    <x v="0"/>
    <x v="0"/>
    <s v="B1"/>
    <n v="110"/>
    <n v="20"/>
    <x v="0"/>
  </r>
  <r>
    <n v="14"/>
    <x v="19"/>
    <x v="5"/>
    <s v="E4"/>
    <n v="119"/>
    <n v="35"/>
    <x v="0"/>
  </r>
  <r>
    <n v="2"/>
    <x v="3"/>
    <x v="3"/>
    <s v="A1"/>
    <n v="15"/>
    <n v="25"/>
    <x v="1"/>
  </r>
  <r>
    <n v="11"/>
    <x v="12"/>
    <x v="4"/>
    <s v="D1"/>
    <n v="63"/>
    <n v="15"/>
    <x v="0"/>
  </r>
  <r>
    <n v="7"/>
    <x v="16"/>
    <x v="7"/>
    <s v="C5"/>
    <n v="114"/>
    <n v="15"/>
    <x v="0"/>
  </r>
  <r>
    <n v="14"/>
    <x v="19"/>
    <x v="5"/>
    <s v="E2"/>
    <n v="71"/>
    <n v="25"/>
    <x v="0"/>
  </r>
  <r>
    <n v="8"/>
    <x v="1"/>
    <x v="1"/>
    <s v="C1"/>
    <n v="113"/>
    <n v="30"/>
    <x v="0"/>
  </r>
  <r>
    <n v="4"/>
    <x v="0"/>
    <x v="0"/>
    <s v="B1"/>
    <n v="138"/>
    <n v="10"/>
    <x v="0"/>
  </r>
  <r>
    <n v="3"/>
    <x v="9"/>
    <x v="3"/>
    <s v="A2"/>
    <n v="42"/>
    <n v="25"/>
    <x v="0"/>
  </r>
  <r>
    <n v="16"/>
    <x v="14"/>
    <x v="6"/>
    <s v="F4"/>
    <n v="54"/>
    <n v="25"/>
    <x v="0"/>
  </r>
  <r>
    <n v="2"/>
    <x v="3"/>
    <x v="3"/>
    <s v="A2"/>
    <n v="97"/>
    <n v="10"/>
    <x v="0"/>
  </r>
  <r>
    <n v="13"/>
    <x v="7"/>
    <x v="5"/>
    <s v="E3"/>
    <n v="116"/>
    <n v="20"/>
    <x v="0"/>
  </r>
  <r>
    <n v="14"/>
    <x v="19"/>
    <x v="5"/>
    <s v="E5"/>
    <n v="124"/>
    <n v="15"/>
    <x v="0"/>
  </r>
  <r>
    <n v="7"/>
    <x v="16"/>
    <x v="7"/>
    <s v="C3"/>
    <n v="55"/>
    <n v="10"/>
    <x v="0"/>
  </r>
  <r>
    <n v="19"/>
    <x v="13"/>
    <x v="2"/>
    <s v="G5"/>
    <n v="15"/>
    <n v="35"/>
    <x v="1"/>
  </r>
  <r>
    <n v="11"/>
    <x v="12"/>
    <x v="4"/>
    <s v="D1"/>
    <n v="12"/>
    <n v="30"/>
    <x v="1"/>
  </r>
  <r>
    <n v="16"/>
    <x v="14"/>
    <x v="6"/>
    <s v="F5"/>
    <n v="135"/>
    <n v="15"/>
    <x v="0"/>
  </r>
  <r>
    <n v="2"/>
    <x v="3"/>
    <x v="3"/>
    <s v="A5"/>
    <n v="20"/>
    <n v="15"/>
    <x v="2"/>
  </r>
  <r>
    <n v="3"/>
    <x v="9"/>
    <x v="3"/>
    <s v="A5"/>
    <n v="17"/>
    <n v="35"/>
    <x v="1"/>
  </r>
  <r>
    <n v="8"/>
    <x v="1"/>
    <x v="1"/>
    <s v="C4"/>
    <n v="30"/>
    <n v="30"/>
    <x v="1"/>
  </r>
  <r>
    <n v="8"/>
    <x v="1"/>
    <x v="1"/>
    <s v="C5"/>
    <n v="152"/>
    <n v="10"/>
    <x v="0"/>
  </r>
  <r>
    <n v="20"/>
    <x v="8"/>
    <x v="2"/>
    <s v="G1"/>
    <n v="107"/>
    <n v="35"/>
    <x v="0"/>
  </r>
  <r>
    <n v="19"/>
    <x v="13"/>
    <x v="2"/>
    <s v="G5"/>
    <n v="133"/>
    <n v="20"/>
    <x v="0"/>
  </r>
  <r>
    <n v="9"/>
    <x v="5"/>
    <x v="1"/>
    <s v="C2"/>
    <n v="80"/>
    <n v="15"/>
    <x v="0"/>
  </r>
  <r>
    <n v="9"/>
    <x v="5"/>
    <x v="1"/>
    <s v="C4"/>
    <n v="33"/>
    <n v="35"/>
    <x v="1"/>
  </r>
  <r>
    <n v="10"/>
    <x v="17"/>
    <x v="1"/>
    <s v="D4"/>
    <n v="80"/>
    <n v="10"/>
    <x v="0"/>
  </r>
  <r>
    <n v="1"/>
    <x v="4"/>
    <x v="1"/>
    <s v="A4"/>
    <n v="159"/>
    <n v="30"/>
    <x v="0"/>
  </r>
  <r>
    <n v="4"/>
    <x v="0"/>
    <x v="0"/>
    <s v="B1"/>
    <n v="137"/>
    <n v="15"/>
    <x v="0"/>
  </r>
  <r>
    <n v="17"/>
    <x v="18"/>
    <x v="6"/>
    <s v="F3"/>
    <n v="33"/>
    <n v="20"/>
    <x v="0"/>
  </r>
  <r>
    <n v="3"/>
    <x v="9"/>
    <x v="3"/>
    <s v="A2"/>
    <n v="94"/>
    <n v="20"/>
    <x v="0"/>
  </r>
  <r>
    <n v="6"/>
    <x v="10"/>
    <x v="1"/>
    <s v="B4"/>
    <n v="139"/>
    <n v="35"/>
    <x v="0"/>
  </r>
  <r>
    <n v="10"/>
    <x v="17"/>
    <x v="1"/>
    <s v="D5"/>
    <n v="135"/>
    <n v="10"/>
    <x v="0"/>
  </r>
  <r>
    <n v="18"/>
    <x v="2"/>
    <x v="2"/>
    <s v="F3"/>
    <n v="26"/>
    <n v="15"/>
    <x v="2"/>
  </r>
  <r>
    <n v="9"/>
    <x v="5"/>
    <x v="1"/>
    <s v="C1"/>
    <n v="27"/>
    <n v="35"/>
    <x v="1"/>
  </r>
  <r>
    <n v="18"/>
    <x v="2"/>
    <x v="2"/>
    <s v="F2"/>
    <n v="69"/>
    <n v="20"/>
    <x v="0"/>
  </r>
  <r>
    <n v="20"/>
    <x v="8"/>
    <x v="2"/>
    <s v="G2"/>
    <n v="87"/>
    <n v="15"/>
    <x v="0"/>
  </r>
  <r>
    <n v="9"/>
    <x v="5"/>
    <x v="1"/>
    <s v="C5"/>
    <n v="125"/>
    <n v="20"/>
    <x v="0"/>
  </r>
  <r>
    <n v="2"/>
    <x v="3"/>
    <x v="3"/>
    <s v="A1"/>
    <n v="108"/>
    <n v="20"/>
    <x v="0"/>
  </r>
  <r>
    <n v="2"/>
    <x v="3"/>
    <x v="3"/>
    <s v="A1"/>
    <n v="85"/>
    <n v="15"/>
    <x v="0"/>
  </r>
  <r>
    <n v="9"/>
    <x v="5"/>
    <x v="1"/>
    <s v="C2"/>
    <n v="113"/>
    <n v="30"/>
    <x v="0"/>
  </r>
  <r>
    <n v="14"/>
    <x v="19"/>
    <x v="5"/>
    <s v="E5"/>
    <n v="2"/>
    <n v="10"/>
    <x v="1"/>
  </r>
  <r>
    <n v="3"/>
    <x v="9"/>
    <x v="3"/>
    <s v="A2"/>
    <n v="139"/>
    <n v="10"/>
    <x v="0"/>
  </r>
  <r>
    <n v="12"/>
    <x v="6"/>
    <x v="4"/>
    <s v="D5"/>
    <n v="141"/>
    <n v="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n v="6"/>
    <x v="0"/>
    <s v="N / A"/>
  </r>
  <r>
    <n v="1002"/>
    <x v="1"/>
    <x v="1"/>
    <n v="27"/>
    <x v="1"/>
    <s v="Priorité Normale"/>
  </r>
  <r>
    <n v="1003"/>
    <x v="1"/>
    <x v="2"/>
    <n v="72"/>
    <x v="2"/>
    <s v="Haute Priorité"/>
  </r>
  <r>
    <n v="1004"/>
    <x v="2"/>
    <x v="0"/>
    <n v="31"/>
    <x v="2"/>
    <s v="Haute Priorité"/>
  </r>
  <r>
    <n v="1005"/>
    <x v="3"/>
    <x v="3"/>
    <n v="4"/>
    <x v="0"/>
    <s v="N / A"/>
  </r>
  <r>
    <n v="1006"/>
    <x v="3"/>
    <x v="4"/>
    <n v="86"/>
    <x v="2"/>
    <s v="Haute Priorité"/>
  </r>
  <r>
    <n v="1007"/>
    <x v="4"/>
    <x v="5"/>
    <n v="21"/>
    <x v="1"/>
    <s v="Priorité Normale"/>
  </r>
  <r>
    <n v="1008"/>
    <x v="5"/>
    <x v="2"/>
    <n v="5"/>
    <x v="2"/>
    <s v="Haute Priorité"/>
  </r>
  <r>
    <n v="1009"/>
    <x v="6"/>
    <x v="5"/>
    <n v="59"/>
    <x v="0"/>
    <s v="N / A"/>
  </r>
  <r>
    <n v="1010"/>
    <x v="7"/>
    <x v="5"/>
    <n v="4"/>
    <x v="1"/>
    <s v="Priorité Normale"/>
  </r>
  <r>
    <n v="1011"/>
    <x v="8"/>
    <x v="6"/>
    <n v="36"/>
    <x v="2"/>
    <s v="Haute Priorité"/>
  </r>
  <r>
    <n v="1012"/>
    <x v="1"/>
    <x v="7"/>
    <n v="83"/>
    <x v="1"/>
    <s v="Haute Priorité"/>
  </r>
  <r>
    <n v="1013"/>
    <x v="8"/>
    <x v="8"/>
    <n v="4"/>
    <x v="0"/>
    <s v="N / A"/>
  </r>
  <r>
    <n v="1014"/>
    <x v="9"/>
    <x v="7"/>
    <n v="75"/>
    <x v="2"/>
    <s v="Haute Priorité"/>
  </r>
  <r>
    <n v="1015"/>
    <x v="10"/>
    <x v="7"/>
    <n v="14"/>
    <x v="1"/>
    <s v="Priorité Normale"/>
  </r>
  <r>
    <n v="1016"/>
    <x v="11"/>
    <x v="9"/>
    <n v="56"/>
    <x v="1"/>
    <s v="Priorité Normale"/>
  </r>
  <r>
    <n v="1017"/>
    <x v="12"/>
    <x v="10"/>
    <n v="50"/>
    <x v="2"/>
    <s v="Haute Priorité"/>
  </r>
  <r>
    <n v="1018"/>
    <x v="13"/>
    <x v="11"/>
    <n v="6"/>
    <x v="1"/>
    <s v="Priorité Normale"/>
  </r>
  <r>
    <n v="1019"/>
    <x v="14"/>
    <x v="12"/>
    <n v="69"/>
    <x v="1"/>
    <s v="Haute Priorité"/>
  </r>
  <r>
    <n v="1020"/>
    <x v="15"/>
    <x v="11"/>
    <n v="56"/>
    <x v="0"/>
    <s v="N / A"/>
  </r>
  <r>
    <n v="1021"/>
    <x v="11"/>
    <x v="4"/>
    <n v="85"/>
    <x v="2"/>
    <s v="Haute Priorité"/>
  </r>
  <r>
    <n v="1022"/>
    <x v="16"/>
    <x v="13"/>
    <n v="40"/>
    <x v="1"/>
    <s v="Priorité Normale"/>
  </r>
  <r>
    <n v="1023"/>
    <x v="17"/>
    <x v="4"/>
    <n v="90"/>
    <x v="0"/>
    <s v="N / A"/>
  </r>
  <r>
    <n v="1024"/>
    <x v="6"/>
    <x v="14"/>
    <n v="54"/>
    <x v="1"/>
    <s v="Priorité Normale"/>
  </r>
  <r>
    <n v="1025"/>
    <x v="9"/>
    <x v="6"/>
    <n v="79"/>
    <x v="1"/>
    <s v="Haute Priorité"/>
  </r>
  <r>
    <n v="1026"/>
    <x v="18"/>
    <x v="6"/>
    <n v="1"/>
    <x v="0"/>
    <s v="N / A"/>
  </r>
  <r>
    <n v="1027"/>
    <x v="19"/>
    <x v="11"/>
    <n v="75"/>
    <x v="1"/>
    <s v="Haute Priorité"/>
  </r>
  <r>
    <n v="1028"/>
    <x v="20"/>
    <x v="4"/>
    <n v="57"/>
    <x v="0"/>
    <s v="N / A"/>
  </r>
  <r>
    <n v="1029"/>
    <x v="16"/>
    <x v="11"/>
    <n v="61"/>
    <x v="1"/>
    <s v="Haute Priorité"/>
  </r>
  <r>
    <n v="1030"/>
    <x v="21"/>
    <x v="3"/>
    <n v="37"/>
    <x v="1"/>
    <s v="Priorité Normale"/>
  </r>
  <r>
    <n v="1031"/>
    <x v="8"/>
    <x v="15"/>
    <n v="12"/>
    <x v="2"/>
    <s v="Haute Priorité"/>
  </r>
  <r>
    <n v="1032"/>
    <x v="22"/>
    <x v="5"/>
    <n v="29"/>
    <x v="2"/>
    <s v="Haute Priorité"/>
  </r>
  <r>
    <n v="1033"/>
    <x v="23"/>
    <x v="14"/>
    <n v="6"/>
    <x v="0"/>
    <s v="N / A"/>
  </r>
  <r>
    <n v="1034"/>
    <x v="24"/>
    <x v="16"/>
    <n v="59"/>
    <x v="0"/>
    <s v="N / A"/>
  </r>
  <r>
    <n v="1035"/>
    <x v="6"/>
    <x v="17"/>
    <n v="90"/>
    <x v="0"/>
    <s v="N / A"/>
  </r>
  <r>
    <n v="1036"/>
    <x v="25"/>
    <x v="6"/>
    <n v="19"/>
    <x v="1"/>
    <s v="Priorité Normale"/>
  </r>
  <r>
    <n v="1037"/>
    <x v="26"/>
    <x v="12"/>
    <n v="55"/>
    <x v="0"/>
    <s v="N / A"/>
  </r>
  <r>
    <n v="1038"/>
    <x v="20"/>
    <x v="10"/>
    <n v="7"/>
    <x v="1"/>
    <s v="Priorité Normale"/>
  </r>
  <r>
    <n v="1039"/>
    <x v="20"/>
    <x v="2"/>
    <n v="18"/>
    <x v="2"/>
    <s v="Haute Priorité"/>
  </r>
  <r>
    <n v="1040"/>
    <x v="18"/>
    <x v="10"/>
    <n v="77"/>
    <x v="0"/>
    <s v="N / A"/>
  </r>
  <r>
    <n v="1041"/>
    <x v="16"/>
    <x v="18"/>
    <n v="55"/>
    <x v="2"/>
    <s v="Haute Priorité"/>
  </r>
  <r>
    <n v="1042"/>
    <x v="27"/>
    <x v="8"/>
    <n v="21"/>
    <x v="1"/>
    <s v="Priorité Normale"/>
  </r>
  <r>
    <n v="1043"/>
    <x v="27"/>
    <x v="16"/>
    <n v="34"/>
    <x v="1"/>
    <s v="Priorité Normale"/>
  </r>
  <r>
    <n v="1044"/>
    <x v="14"/>
    <x v="7"/>
    <n v="63"/>
    <x v="1"/>
    <s v="Haute Priorité"/>
  </r>
  <r>
    <n v="1045"/>
    <x v="27"/>
    <x v="7"/>
    <n v="10"/>
    <x v="1"/>
    <s v="Priorité Normale"/>
  </r>
  <r>
    <n v="1046"/>
    <x v="4"/>
    <x v="5"/>
    <n v="43"/>
    <x v="0"/>
    <s v="N / A"/>
  </r>
  <r>
    <n v="1047"/>
    <x v="21"/>
    <x v="8"/>
    <n v="18"/>
    <x v="0"/>
    <s v="N / A"/>
  </r>
  <r>
    <n v="1048"/>
    <x v="2"/>
    <x v="6"/>
    <n v="28"/>
    <x v="0"/>
    <s v="N / A"/>
  </r>
  <r>
    <n v="1049"/>
    <x v="8"/>
    <x v="0"/>
    <n v="70"/>
    <x v="1"/>
    <s v="Haute Priorité"/>
  </r>
  <r>
    <n v="1050"/>
    <x v="28"/>
    <x v="1"/>
    <n v="54"/>
    <x v="0"/>
    <s v="N / A"/>
  </r>
  <r>
    <n v="1051"/>
    <x v="23"/>
    <x v="17"/>
    <n v="74"/>
    <x v="0"/>
    <s v="N / A"/>
  </r>
  <r>
    <n v="1052"/>
    <x v="1"/>
    <x v="12"/>
    <n v="39"/>
    <x v="1"/>
    <s v="Priorité Normale"/>
  </r>
  <r>
    <n v="1053"/>
    <x v="29"/>
    <x v="0"/>
    <n v="70"/>
    <x v="1"/>
    <s v="Haute Priorité"/>
  </r>
  <r>
    <n v="1054"/>
    <x v="30"/>
    <x v="5"/>
    <n v="29"/>
    <x v="0"/>
    <s v="N / A"/>
  </r>
  <r>
    <n v="1055"/>
    <x v="23"/>
    <x v="16"/>
    <n v="50"/>
    <x v="0"/>
    <s v="N / A"/>
  </r>
  <r>
    <n v="1056"/>
    <x v="31"/>
    <x v="6"/>
    <n v="60"/>
    <x v="2"/>
    <s v="Haute Priorité"/>
  </r>
  <r>
    <n v="1057"/>
    <x v="29"/>
    <x v="15"/>
    <n v="4"/>
    <x v="2"/>
    <s v="Haute Priorité"/>
  </r>
  <r>
    <n v="1058"/>
    <x v="23"/>
    <x v="17"/>
    <n v="11"/>
    <x v="1"/>
    <s v="Priorité Normale"/>
  </r>
  <r>
    <n v="1059"/>
    <x v="20"/>
    <x v="14"/>
    <n v="24"/>
    <x v="0"/>
    <s v="N / A"/>
  </r>
  <r>
    <n v="1060"/>
    <x v="11"/>
    <x v="6"/>
    <n v="28"/>
    <x v="1"/>
    <s v="Priorité Normale"/>
  </r>
  <r>
    <n v="1061"/>
    <x v="5"/>
    <x v="4"/>
    <n v="36"/>
    <x v="1"/>
    <s v="Priorité Normale"/>
  </r>
  <r>
    <n v="1062"/>
    <x v="13"/>
    <x v="0"/>
    <n v="11"/>
    <x v="1"/>
    <s v="Priorité Normale"/>
  </r>
  <r>
    <n v="1063"/>
    <x v="32"/>
    <x v="8"/>
    <n v="45"/>
    <x v="0"/>
    <s v="N / A"/>
  </r>
  <r>
    <n v="1064"/>
    <x v="10"/>
    <x v="19"/>
    <n v="4"/>
    <x v="2"/>
    <s v="Haute Priorité"/>
  </r>
  <r>
    <n v="1065"/>
    <x v="23"/>
    <x v="11"/>
    <n v="80"/>
    <x v="0"/>
    <s v="N / A"/>
  </r>
  <r>
    <n v="1066"/>
    <x v="33"/>
    <x v="14"/>
    <n v="86"/>
    <x v="0"/>
    <s v="N / A"/>
  </r>
  <r>
    <n v="1067"/>
    <x v="20"/>
    <x v="11"/>
    <n v="90"/>
    <x v="0"/>
    <s v="N / A"/>
  </r>
  <r>
    <n v="1068"/>
    <x v="31"/>
    <x v="9"/>
    <n v="78"/>
    <x v="1"/>
    <s v="Haute Priorité"/>
  </r>
  <r>
    <n v="1069"/>
    <x v="31"/>
    <x v="2"/>
    <n v="40"/>
    <x v="0"/>
    <s v="N / A"/>
  </r>
  <r>
    <n v="1070"/>
    <x v="22"/>
    <x v="12"/>
    <n v="74"/>
    <x v="1"/>
    <s v="Haute Priorité"/>
  </r>
  <r>
    <n v="1071"/>
    <x v="17"/>
    <x v="6"/>
    <n v="26"/>
    <x v="0"/>
    <s v="N / A"/>
  </r>
  <r>
    <n v="1072"/>
    <x v="26"/>
    <x v="5"/>
    <n v="90"/>
    <x v="1"/>
    <s v="Haute Priorité"/>
  </r>
  <r>
    <n v="1073"/>
    <x v="12"/>
    <x v="15"/>
    <n v="73"/>
    <x v="1"/>
    <s v="Haute Priorité"/>
  </r>
  <r>
    <n v="1074"/>
    <x v="29"/>
    <x v="9"/>
    <n v="55"/>
    <x v="1"/>
    <s v="Priorité Normale"/>
  </r>
  <r>
    <n v="1075"/>
    <x v="16"/>
    <x v="19"/>
    <n v="83"/>
    <x v="0"/>
    <s v="N / A"/>
  </r>
  <r>
    <n v="1076"/>
    <x v="30"/>
    <x v="0"/>
    <n v="14"/>
    <x v="0"/>
    <s v="N / A"/>
  </r>
  <r>
    <n v="1077"/>
    <x v="20"/>
    <x v="9"/>
    <n v="20"/>
    <x v="0"/>
    <s v="N / A"/>
  </r>
  <r>
    <n v="1078"/>
    <x v="4"/>
    <x v="10"/>
    <n v="79"/>
    <x v="2"/>
    <s v="Haute Priorité"/>
  </r>
  <r>
    <n v="1079"/>
    <x v="33"/>
    <x v="8"/>
    <n v="60"/>
    <x v="0"/>
    <s v="N / A"/>
  </r>
  <r>
    <n v="1080"/>
    <x v="4"/>
    <x v="17"/>
    <n v="42"/>
    <x v="2"/>
    <s v="Haute Priorité"/>
  </r>
  <r>
    <n v="1081"/>
    <x v="4"/>
    <x v="19"/>
    <n v="58"/>
    <x v="0"/>
    <s v="N / A"/>
  </r>
  <r>
    <n v="1082"/>
    <x v="5"/>
    <x v="18"/>
    <n v="44"/>
    <x v="0"/>
    <s v="N / A"/>
  </r>
  <r>
    <n v="1083"/>
    <x v="9"/>
    <x v="4"/>
    <n v="63"/>
    <x v="0"/>
    <s v="N / A"/>
  </r>
  <r>
    <n v="1084"/>
    <x v="8"/>
    <x v="7"/>
    <n v="36"/>
    <x v="2"/>
    <s v="Haute Priorité"/>
  </r>
  <r>
    <n v="1085"/>
    <x v="18"/>
    <x v="7"/>
    <n v="2"/>
    <x v="1"/>
    <s v="Priorité Normale"/>
  </r>
  <r>
    <n v="1086"/>
    <x v="21"/>
    <x v="11"/>
    <n v="31"/>
    <x v="1"/>
    <s v="Priorité Normale"/>
  </r>
  <r>
    <n v="1087"/>
    <x v="18"/>
    <x v="16"/>
    <n v="31"/>
    <x v="1"/>
    <s v="Priorité Normale"/>
  </r>
  <r>
    <n v="1088"/>
    <x v="27"/>
    <x v="16"/>
    <n v="3"/>
    <x v="0"/>
    <s v="N / A"/>
  </r>
  <r>
    <n v="1089"/>
    <x v="17"/>
    <x v="5"/>
    <n v="89"/>
    <x v="0"/>
    <s v="N / A"/>
  </r>
  <r>
    <n v="1090"/>
    <x v="15"/>
    <x v="17"/>
    <n v="61"/>
    <x v="1"/>
    <s v="Haute Priorité"/>
  </r>
  <r>
    <n v="1091"/>
    <x v="19"/>
    <x v="9"/>
    <n v="71"/>
    <x v="0"/>
    <s v="N / A"/>
  </r>
  <r>
    <n v="1092"/>
    <x v="4"/>
    <x v="18"/>
    <n v="40"/>
    <x v="0"/>
    <s v="N / A"/>
  </r>
  <r>
    <n v="1093"/>
    <x v="6"/>
    <x v="2"/>
    <n v="41"/>
    <x v="0"/>
    <s v="N / A"/>
  </r>
  <r>
    <n v="1094"/>
    <x v="9"/>
    <x v="8"/>
    <n v="25"/>
    <x v="0"/>
    <s v="N / A"/>
  </r>
  <r>
    <n v="1095"/>
    <x v="4"/>
    <x v="16"/>
    <n v="76"/>
    <x v="2"/>
    <s v="Haute Priorité"/>
  </r>
  <r>
    <n v="1096"/>
    <x v="34"/>
    <x v="10"/>
    <n v="13"/>
    <x v="2"/>
    <s v="Haute Priorité"/>
  </r>
  <r>
    <n v="1097"/>
    <x v="7"/>
    <x v="13"/>
    <n v="47"/>
    <x v="0"/>
    <s v="N / A"/>
  </r>
  <r>
    <n v="1098"/>
    <x v="29"/>
    <x v="12"/>
    <n v="17"/>
    <x v="0"/>
    <s v="N / A"/>
  </r>
  <r>
    <n v="1099"/>
    <x v="18"/>
    <x v="1"/>
    <n v="38"/>
    <x v="1"/>
    <s v="Priorité Normale"/>
  </r>
  <r>
    <n v="1100"/>
    <x v="30"/>
    <x v="14"/>
    <n v="14"/>
    <x v="2"/>
    <s v="Haute Priorit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50B26-4B93-A246-B712-17118CA8EF12}" name="PivotTable2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12" firstHeaderRow="1" firstDataRow="1" firstDataCol="1"/>
  <pivotFields count="7">
    <pivotField showAll="0"/>
    <pivotField showAll="0"/>
    <pivotField axis="axisRow" showAll="0">
      <items count="9">
        <item x="6"/>
        <item x="2"/>
        <item x="7"/>
        <item x="1"/>
        <item x="0"/>
        <item x="5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u Stock Actuel" fld="4" baseField="0" baseItem="0"/>
  </dataFields>
  <formats count="4">
    <format dxfId="49">
      <pivotArea collapsedLevelsAreSubtotals="1" fieldPosition="0">
        <references count="1">
          <reference field="2" count="0"/>
        </references>
      </pivotArea>
    </format>
    <format dxfId="48">
      <pivotArea dataOnly="0" labelOnly="1" fieldPosition="0">
        <references count="1">
          <reference field="2" count="0"/>
        </references>
      </pivotArea>
    </format>
    <format dxfId="47">
      <pivotArea collapsedLevelsAreSubtotals="1" fieldPosition="0">
        <references count="1">
          <reference field="2" count="0"/>
        </references>
      </pivotArea>
    </format>
    <format dxfId="46">
      <pivotArea dataOnly="0" labelOnly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2D6BB-9A27-4141-9E4C-9A03571D86A8}" name="PivotTable3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7" firstHeaderRow="1" firstDataRow="1" firstDataCol="1"/>
  <pivotFields count="7">
    <pivotField showAll="0"/>
    <pivotField dataField="1" showAll="0">
      <items count="21">
        <item x="14"/>
        <item x="2"/>
        <item x="11"/>
        <item x="3"/>
        <item x="16"/>
        <item x="12"/>
        <item x="6"/>
        <item x="4"/>
        <item x="15"/>
        <item x="13"/>
        <item x="0"/>
        <item x="17"/>
        <item x="19"/>
        <item x="18"/>
        <item x="7"/>
        <item x="5"/>
        <item x="8"/>
        <item x="1"/>
        <item x="10"/>
        <item x="9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té Produit" fld="1" subtotal="count" baseField="0" baseItem="0"/>
  </dataFields>
  <formats count="10">
    <format dxfId="45">
      <pivotArea collapsedLevelsAreSubtotals="1" fieldPosition="0">
        <references count="1">
          <reference field="6" count="1">
            <x v="0"/>
          </reference>
        </references>
      </pivotArea>
    </format>
    <format dxfId="44">
      <pivotArea dataOnly="0" labelOnly="1" fieldPosition="0">
        <references count="1">
          <reference field="6" count="1">
            <x v="0"/>
          </reference>
        </references>
      </pivotArea>
    </format>
    <format dxfId="43">
      <pivotArea collapsedLevelsAreSubtotals="1" fieldPosition="0">
        <references count="1">
          <reference field="6" count="1">
            <x v="1"/>
          </reference>
        </references>
      </pivotArea>
    </format>
    <format dxfId="42">
      <pivotArea dataOnly="0" labelOnly="1" fieldPosition="0">
        <references count="1">
          <reference field="6" count="1">
            <x v="1"/>
          </reference>
        </references>
      </pivotArea>
    </format>
    <format dxfId="41">
      <pivotArea collapsedLevelsAreSubtotals="1" fieldPosition="0">
        <references count="1">
          <reference field="6" count="1">
            <x v="2"/>
          </reference>
        </references>
      </pivotArea>
    </format>
    <format dxfId="40">
      <pivotArea dataOnly="0" labelOnly="1" fieldPosition="0">
        <references count="1">
          <reference field="6" count="1">
            <x v="2"/>
          </reference>
        </references>
      </pivotArea>
    </format>
    <format dxfId="39">
      <pivotArea collapsedLevelsAreSubtotals="1" fieldPosition="0">
        <references count="1">
          <reference field="6" count="1">
            <x v="1"/>
          </reference>
        </references>
      </pivotArea>
    </format>
    <format dxfId="38">
      <pivotArea dataOnly="0" labelOnly="1" fieldPosition="0">
        <references count="1">
          <reference field="6" count="1">
            <x v="1"/>
          </reference>
        </references>
      </pivotArea>
    </format>
    <format dxfId="37">
      <pivotArea collapsedLevelsAreSubtotals="1" fieldPosition="0">
        <references count="1">
          <reference field="6" count="1">
            <x v="2"/>
          </reference>
        </references>
      </pivotArea>
    </format>
    <format dxfId="36">
      <pivotArea dataOnly="0" labelOnly="1" fieldPosition="0">
        <references count="1">
          <reference field="6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8C44E-2C4E-0F49-A5F0-6C5467643CF1}" name="PivotTable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7" firstHeaderRow="1" firstDataRow="1" firstDataCol="1"/>
  <pivotFields count="8">
    <pivotField showAll="0"/>
    <pivotField numFmtId="14" showAll="0">
      <items count="36">
        <item x="23"/>
        <item x="10"/>
        <item x="32"/>
        <item x="24"/>
        <item x="21"/>
        <item x="26"/>
        <item x="12"/>
        <item x="0"/>
        <item x="2"/>
        <item x="31"/>
        <item x="9"/>
        <item x="6"/>
        <item x="28"/>
        <item x="7"/>
        <item x="25"/>
        <item x="13"/>
        <item x="4"/>
        <item x="34"/>
        <item x="22"/>
        <item x="11"/>
        <item x="8"/>
        <item x="1"/>
        <item x="15"/>
        <item x="5"/>
        <item x="17"/>
        <item x="3"/>
        <item x="19"/>
        <item x="27"/>
        <item x="20"/>
        <item x="33"/>
        <item x="30"/>
        <item x="16"/>
        <item x="14"/>
        <item x="29"/>
        <item x="18"/>
        <item t="default"/>
      </items>
    </pivotField>
    <pivotField dataField="1" showAll="0">
      <items count="21">
        <item x="16"/>
        <item x="8"/>
        <item x="18"/>
        <item x="1"/>
        <item x="11"/>
        <item x="4"/>
        <item x="9"/>
        <item x="12"/>
        <item x="14"/>
        <item x="17"/>
        <item x="2"/>
        <item x="13"/>
        <item x="0"/>
        <item x="10"/>
        <item x="6"/>
        <item x="7"/>
        <item x="15"/>
        <item x="5"/>
        <item x="3"/>
        <item x="19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s commandes" fld="2" subtotal="count" baseField="0" baseItem="0"/>
  </dataFields>
  <formats count="6">
    <format dxfId="35">
      <pivotArea collapsedLevelsAreSubtotals="1" fieldPosition="0">
        <references count="1">
          <reference field="4" count="1">
            <x v="0"/>
          </reference>
        </references>
      </pivotArea>
    </format>
    <format dxfId="34">
      <pivotArea dataOnly="0" labelOnly="1" fieldPosition="0">
        <references count="1">
          <reference field="4" count="1">
            <x v="0"/>
          </reference>
        </references>
      </pivotArea>
    </format>
    <format dxfId="33">
      <pivotArea collapsedLevelsAreSubtotals="1" fieldPosition="0">
        <references count="1">
          <reference field="4" count="1">
            <x v="1"/>
          </reference>
        </references>
      </pivotArea>
    </format>
    <format dxfId="32">
      <pivotArea dataOnly="0" labelOnly="1" fieldPosition="0">
        <references count="1">
          <reference field="4" count="1">
            <x v="1"/>
          </reference>
        </references>
      </pivotArea>
    </format>
    <format dxfId="31">
      <pivotArea collapsedLevelsAreSubtotals="1" fieldPosition="0">
        <references count="1">
          <reference field="4" count="1">
            <x v="2"/>
          </reference>
        </references>
      </pivotArea>
    </format>
    <format dxfId="30">
      <pivotArea dataOnly="0" labelOnly="1" fieldPosition="0">
        <references count="1">
          <reference field="4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3735C-B2EF-164F-91D4-DECC227A90E6}" name="PivotTable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24" firstHeaderRow="1" firstDataRow="1" firstDataCol="1"/>
  <pivotFields count="8">
    <pivotField showAll="0"/>
    <pivotField numFmtId="14" showAll="0">
      <items count="36">
        <item x="23"/>
        <item x="10"/>
        <item x="32"/>
        <item x="24"/>
        <item x="21"/>
        <item x="26"/>
        <item x="12"/>
        <item x="0"/>
        <item x="2"/>
        <item x="31"/>
        <item x="9"/>
        <item x="6"/>
        <item x="28"/>
        <item x="7"/>
        <item x="25"/>
        <item x="13"/>
        <item x="4"/>
        <item x="34"/>
        <item x="22"/>
        <item x="11"/>
        <item x="8"/>
        <item x="1"/>
        <item x="15"/>
        <item x="5"/>
        <item x="17"/>
        <item x="3"/>
        <item x="19"/>
        <item x="27"/>
        <item x="20"/>
        <item x="33"/>
        <item x="30"/>
        <item x="16"/>
        <item x="14"/>
        <item x="29"/>
        <item x="18"/>
        <item t="default"/>
      </items>
    </pivotField>
    <pivotField axis="axisRow" showAll="0" sortType="descending">
      <items count="21">
        <item x="16"/>
        <item x="8"/>
        <item x="18"/>
        <item x="1"/>
        <item x="11"/>
        <item x="4"/>
        <item x="9"/>
        <item x="12"/>
        <item x="14"/>
        <item x="17"/>
        <item x="2"/>
        <item x="13"/>
        <item x="0"/>
        <item x="10"/>
        <item x="6"/>
        <item x="7"/>
        <item x="15"/>
        <item x="5"/>
        <item x="3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1">
    <i>
      <x v="5"/>
    </i>
    <i>
      <x v="4"/>
    </i>
    <i>
      <x v="17"/>
    </i>
    <i>
      <x v="15"/>
    </i>
    <i>
      <x v="6"/>
    </i>
    <i>
      <x v="9"/>
    </i>
    <i>
      <x v="14"/>
    </i>
    <i>
      <x v="7"/>
    </i>
    <i>
      <x/>
    </i>
    <i>
      <x v="13"/>
    </i>
    <i>
      <x v="12"/>
    </i>
    <i>
      <x v="8"/>
    </i>
    <i>
      <x v="10"/>
    </i>
    <i>
      <x v="1"/>
    </i>
    <i>
      <x v="19"/>
    </i>
    <i>
      <x v="2"/>
    </i>
    <i>
      <x v="3"/>
    </i>
    <i>
      <x v="16"/>
    </i>
    <i>
      <x v="11"/>
    </i>
    <i>
      <x v="18"/>
    </i>
    <i t="grand">
      <x/>
    </i>
  </rowItems>
  <colItems count="1">
    <i/>
  </colItems>
  <dataFields count="1">
    <dataField name="Quantitée Commandée" fld="3" baseField="0" baseItem="0"/>
  </dataFields>
  <formats count="10">
    <format dxfId="29">
      <pivotArea collapsedLevelsAreSubtotals="1" fieldPosition="0">
        <references count="1">
          <reference field="2" count="1">
            <x v="5"/>
          </reference>
        </references>
      </pivotArea>
    </format>
    <format dxfId="28">
      <pivotArea dataOnly="0" labelOnly="1" fieldPosition="0">
        <references count="1">
          <reference field="2" count="1">
            <x v="5"/>
          </reference>
        </references>
      </pivotArea>
    </format>
    <format dxfId="27">
      <pivotArea collapsedLevelsAreSubtotals="1" fieldPosition="0">
        <references count="1">
          <reference field="2" count="1">
            <x v="4"/>
          </reference>
        </references>
      </pivotArea>
    </format>
    <format dxfId="26">
      <pivotArea dataOnly="0" labelOnly="1" fieldPosition="0">
        <references count="1">
          <reference field="2" count="1">
            <x v="4"/>
          </reference>
        </references>
      </pivotArea>
    </format>
    <format dxfId="25">
      <pivotArea collapsedLevelsAreSubtotals="1" fieldPosition="0">
        <references count="1">
          <reference field="2" count="1">
            <x v="17"/>
          </reference>
        </references>
      </pivotArea>
    </format>
    <format dxfId="24">
      <pivotArea dataOnly="0" labelOnly="1" fieldPosition="0">
        <references count="1">
          <reference field="2" count="1">
            <x v="17"/>
          </reference>
        </references>
      </pivotArea>
    </format>
    <format dxfId="23">
      <pivotArea collapsedLevelsAreSubtotals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22">
      <pivotArea dataOnly="0" labelOnly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21">
      <pivotArea collapsedLevelsAreSubtotals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20">
      <pivotArea dataOnly="0" labelOnly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62577D-CA8F-1A4F-AC96-F3A1E6BED718}" autoFormatId="16" applyNumberFormats="0" applyBorderFormats="0" applyFontFormats="0" applyPatternFormats="0" applyAlignmentFormats="0" applyWidthHeightFormats="0">
  <queryTableRefresh nextId="8">
    <queryTableFields count="7">
      <queryTableField id="1" name="ProduitID" tableColumnId="1"/>
      <queryTableField id="2" name="Produit" tableColumnId="2"/>
      <queryTableField id="3" name="Categorie" tableColumnId="3"/>
      <queryTableField id="4" name="Emplacement" tableColumnId="4"/>
      <queryTableField id="5" name="StockActuel" tableColumnId="5"/>
      <queryTableField id="6" name="StockMinimum" tableColumnId="6"/>
      <queryTableField id="7" name="StatutStock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E84393-4421-3D41-8B40-BBA06E97C4F7}" autoFormatId="16" applyNumberFormats="0" applyBorderFormats="0" applyFontFormats="0" applyPatternFormats="0" applyAlignmentFormats="0" applyWidthHeightFormats="0">
  <queryTableRefresh nextId="7">
    <queryTableFields count="6">
      <queryTableField id="1" name="CommandeID" tableColumnId="1"/>
      <queryTableField id="2" name="DateCommande" tableColumnId="2"/>
      <queryTableField id="3" name="Produit" tableColumnId="3"/>
      <queryTableField id="4" name="QuantiteCommandee" tableColumnId="4"/>
      <queryTableField id="5" name="Statut" tableColumnId="5"/>
      <queryTableField id="6" name="Priorité Command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AF74AC4-49A7-5046-9202-1B4D381C1C3A}" autoFormatId="16" applyNumberFormats="0" applyBorderFormats="0" applyFontFormats="0" applyPatternFormats="0" applyAlignmentFormats="0" applyWidthHeightFormats="0">
  <queryTableRefresh nextId="3">
    <queryTableFields count="2">
      <queryTableField id="1" name="Produit" tableColumnId="1"/>
      <queryTableField id="2" name="Total Reçu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E7F3C-1F96-CD45-9D4A-103A6BAD98B8}" name="InventairePQ" displayName="InventairePQ" ref="A1:G101" tableType="queryTable" totalsRowShown="0">
  <autoFilter ref="A1:G101" xr:uid="{D8CE7F3C-1F96-CD45-9D4A-103A6BAD98B8}"/>
  <tableColumns count="7">
    <tableColumn id="1" xr3:uid="{42ABCC50-9F49-314B-A06E-939F3DCA0E45}" uniqueName="1" name="ProduitID" queryTableFieldId="1"/>
    <tableColumn id="2" xr3:uid="{58A65829-6A8B-8643-9B0D-754B4A4F2586}" uniqueName="2" name="Produit" queryTableFieldId="2" dataDxfId="56"/>
    <tableColumn id="3" xr3:uid="{2B3E883F-2414-6648-BF75-5C49D8926EBA}" uniqueName="3" name="Categorie" queryTableFieldId="3" dataDxfId="55"/>
    <tableColumn id="4" xr3:uid="{1F9AE569-FC6E-4F45-9FA4-8C0972F77B89}" uniqueName="4" name="Emplacement" queryTableFieldId="4" dataDxfId="54"/>
    <tableColumn id="5" xr3:uid="{983FB67B-ED4A-A142-BDDD-845EF5BB0B10}" uniqueName="5" name="StockActuel" queryTableFieldId="5"/>
    <tableColumn id="6" xr3:uid="{05033242-98F5-9F49-824E-094F2C7BBC7D}" uniqueName="6" name="StockMinimum" queryTableFieldId="6"/>
    <tableColumn id="7" xr3:uid="{06236ECC-86E3-E34E-86E0-E0554AFF30D2}" uniqueName="7" name="StatutStock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08AC4-9E6A-9A49-8FBC-396784694C32}" name="CommandesPQ" displayName="CommandesPQ" ref="A1:F101" tableType="queryTable" totalsRowShown="0">
  <autoFilter ref="A1:F101" xr:uid="{64108AC4-9E6A-9A49-8FBC-396784694C32}"/>
  <tableColumns count="6">
    <tableColumn id="1" xr3:uid="{9044954F-A6D2-4444-868E-816E26399911}" uniqueName="1" name="CommandeID" queryTableFieldId="1"/>
    <tableColumn id="2" xr3:uid="{C6B4F920-D504-894A-8F4F-0CA1F3E9804B}" uniqueName="2" name="DateCommande" queryTableFieldId="2" dataDxfId="53"/>
    <tableColumn id="3" xr3:uid="{C01D064D-DCEB-E34F-A312-EC6DDA050D51}" uniqueName="3" name="Produit" queryTableFieldId="3" dataDxfId="52"/>
    <tableColumn id="4" xr3:uid="{8BC2CAE2-B2A6-434E-9023-B89615E87AD8}" uniqueName="4" name="QuantiteCommandee" queryTableFieldId="4"/>
    <tableColumn id="5" xr3:uid="{085C9540-533F-044D-8B4A-C3B227227FF2}" uniqueName="5" name="Statut" queryTableFieldId="5" dataDxfId="51"/>
    <tableColumn id="6" xr3:uid="{87105E12-AE3B-3F49-8382-BE9C4806125C}" uniqueName="6" name="Priorité Command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14B06A-D242-F64F-9016-2E0640055D36}" name="RéceptionsPQ" displayName="RéceptionsPQ" ref="A1:B21" tableType="queryTable" totalsRowShown="0">
  <autoFilter ref="A1:B21" xr:uid="{3F14B06A-D242-F64F-9016-2E0640055D36}"/>
  <tableColumns count="2">
    <tableColumn id="1" xr3:uid="{BA18312D-CF0C-7A44-A121-09C81D007945}" uniqueName="1" name="Produit" queryTableFieldId="1" dataDxfId="50"/>
    <tableColumn id="2" xr3:uid="{2092F6BF-5F22-1747-BAE4-D09E4E701099}" uniqueName="2" name="Total Reçu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09F1D-AB5B-1C4B-B14E-B3E396E14841}" name="Table4" displayName="Table4" ref="C2:D9" totalsRowShown="0">
  <autoFilter ref="C2:D9" xr:uid="{80F09F1D-AB5B-1C4B-B14E-B3E396E14841}"/>
  <tableColumns count="2">
    <tableColumn id="1" xr3:uid="{A63974DB-E1F0-7A43-BCA5-ADF3B9FD8CFD}" name="Indicateurs de Performance"/>
    <tableColumn id="2" xr3:uid="{846640AC-7337-D042-A290-A2DD2770279B}" name="Valeu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BDA5-245E-7E40-9030-2C41A3A97416}">
  <dimension ref="A1:G101"/>
  <sheetViews>
    <sheetView workbookViewId="0">
      <selection activeCell="D23" sqref="D23"/>
    </sheetView>
  </sheetViews>
  <sheetFormatPr baseColWidth="10" defaultRowHeight="16" x14ac:dyDescent="0.2"/>
  <cols>
    <col min="1" max="1" width="11.5" bestFit="1" customWidth="1"/>
    <col min="2" max="2" width="17.5" bestFit="1" customWidth="1"/>
    <col min="3" max="3" width="15.33203125" bestFit="1" customWidth="1"/>
    <col min="4" max="4" width="15.1640625" bestFit="1" customWidth="1"/>
    <col min="5" max="5" width="13.6640625" bestFit="1" customWidth="1"/>
    <col min="6" max="6" width="16.1640625" bestFit="1" customWidth="1"/>
    <col min="7" max="7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</v>
      </c>
      <c r="B2" t="s">
        <v>7</v>
      </c>
      <c r="C2" t="s">
        <v>8</v>
      </c>
      <c r="D2" t="s">
        <v>9</v>
      </c>
      <c r="E2">
        <v>70</v>
      </c>
      <c r="F2">
        <v>15</v>
      </c>
      <c r="G2" t="s">
        <v>10</v>
      </c>
    </row>
    <row r="3" spans="1:7" x14ac:dyDescent="0.2">
      <c r="A3">
        <v>8</v>
      </c>
      <c r="B3" t="s">
        <v>11</v>
      </c>
      <c r="C3" t="s">
        <v>12</v>
      </c>
      <c r="D3" t="s">
        <v>13</v>
      </c>
      <c r="E3">
        <v>26</v>
      </c>
      <c r="F3">
        <v>35</v>
      </c>
      <c r="G3" t="s">
        <v>14</v>
      </c>
    </row>
    <row r="4" spans="1:7" x14ac:dyDescent="0.2">
      <c r="A4">
        <v>18</v>
      </c>
      <c r="B4" t="s">
        <v>15</v>
      </c>
      <c r="C4" t="s">
        <v>16</v>
      </c>
      <c r="D4" t="s">
        <v>17</v>
      </c>
      <c r="E4">
        <v>151</v>
      </c>
      <c r="F4">
        <v>25</v>
      </c>
      <c r="G4" t="s">
        <v>10</v>
      </c>
    </row>
    <row r="5" spans="1:7" x14ac:dyDescent="0.2">
      <c r="A5">
        <v>2</v>
      </c>
      <c r="B5" t="s">
        <v>18</v>
      </c>
      <c r="C5" t="s">
        <v>19</v>
      </c>
      <c r="D5" t="s">
        <v>20</v>
      </c>
      <c r="E5">
        <v>23</v>
      </c>
      <c r="F5">
        <v>15</v>
      </c>
      <c r="G5" t="s">
        <v>21</v>
      </c>
    </row>
    <row r="6" spans="1:7" x14ac:dyDescent="0.2">
      <c r="A6">
        <v>8</v>
      </c>
      <c r="B6" t="s">
        <v>11</v>
      </c>
      <c r="C6" t="s">
        <v>12</v>
      </c>
      <c r="D6" t="s">
        <v>22</v>
      </c>
      <c r="E6">
        <v>154</v>
      </c>
      <c r="F6">
        <v>10</v>
      </c>
      <c r="G6" t="s">
        <v>10</v>
      </c>
    </row>
    <row r="7" spans="1:7" x14ac:dyDescent="0.2">
      <c r="A7">
        <v>18</v>
      </c>
      <c r="B7" t="s">
        <v>15</v>
      </c>
      <c r="C7" t="s">
        <v>16</v>
      </c>
      <c r="D7" t="s">
        <v>23</v>
      </c>
      <c r="E7">
        <v>139</v>
      </c>
      <c r="F7">
        <v>25</v>
      </c>
      <c r="G7" t="s">
        <v>10</v>
      </c>
    </row>
    <row r="8" spans="1:7" x14ac:dyDescent="0.2">
      <c r="A8">
        <v>8</v>
      </c>
      <c r="B8" t="s">
        <v>11</v>
      </c>
      <c r="C8" t="s">
        <v>12</v>
      </c>
      <c r="D8" t="s">
        <v>24</v>
      </c>
      <c r="E8">
        <v>150</v>
      </c>
      <c r="F8">
        <v>20</v>
      </c>
      <c r="G8" t="s">
        <v>10</v>
      </c>
    </row>
    <row r="9" spans="1:7" x14ac:dyDescent="0.2">
      <c r="A9">
        <v>1</v>
      </c>
      <c r="B9" t="s">
        <v>25</v>
      </c>
      <c r="C9" t="s">
        <v>12</v>
      </c>
      <c r="D9" t="s">
        <v>26</v>
      </c>
      <c r="E9">
        <v>108</v>
      </c>
      <c r="F9">
        <v>20</v>
      </c>
      <c r="G9" t="s">
        <v>10</v>
      </c>
    </row>
    <row r="10" spans="1:7" x14ac:dyDescent="0.2">
      <c r="A10">
        <v>9</v>
      </c>
      <c r="B10" t="s">
        <v>27</v>
      </c>
      <c r="C10" t="s">
        <v>12</v>
      </c>
      <c r="D10" t="s">
        <v>13</v>
      </c>
      <c r="E10">
        <v>55</v>
      </c>
      <c r="F10">
        <v>20</v>
      </c>
      <c r="G10" t="s">
        <v>10</v>
      </c>
    </row>
    <row r="11" spans="1:7" x14ac:dyDescent="0.2">
      <c r="A11">
        <v>4</v>
      </c>
      <c r="B11" t="s">
        <v>7</v>
      </c>
      <c r="C11" t="s">
        <v>8</v>
      </c>
      <c r="D11" t="s">
        <v>9</v>
      </c>
      <c r="E11">
        <v>97</v>
      </c>
      <c r="F11">
        <v>10</v>
      </c>
      <c r="G11" t="s">
        <v>10</v>
      </c>
    </row>
    <row r="12" spans="1:7" x14ac:dyDescent="0.2">
      <c r="A12">
        <v>12</v>
      </c>
      <c r="B12" t="s">
        <v>28</v>
      </c>
      <c r="C12" t="s">
        <v>29</v>
      </c>
      <c r="D12" t="s">
        <v>30</v>
      </c>
      <c r="E12">
        <v>154</v>
      </c>
      <c r="F12">
        <v>20</v>
      </c>
      <c r="G12" t="s">
        <v>10</v>
      </c>
    </row>
    <row r="13" spans="1:7" x14ac:dyDescent="0.2">
      <c r="A13">
        <v>2</v>
      </c>
      <c r="B13" t="s">
        <v>18</v>
      </c>
      <c r="C13" t="s">
        <v>19</v>
      </c>
      <c r="D13" t="s">
        <v>31</v>
      </c>
      <c r="E13">
        <v>137</v>
      </c>
      <c r="F13">
        <v>10</v>
      </c>
      <c r="G13" t="s">
        <v>10</v>
      </c>
    </row>
    <row r="14" spans="1:7" x14ac:dyDescent="0.2">
      <c r="A14">
        <v>13</v>
      </c>
      <c r="B14" t="s">
        <v>32</v>
      </c>
      <c r="C14" t="s">
        <v>33</v>
      </c>
      <c r="D14" t="s">
        <v>34</v>
      </c>
      <c r="E14">
        <v>141</v>
      </c>
      <c r="F14">
        <v>20</v>
      </c>
      <c r="G14" t="s">
        <v>10</v>
      </c>
    </row>
    <row r="15" spans="1:7" x14ac:dyDescent="0.2">
      <c r="A15">
        <v>20</v>
      </c>
      <c r="B15" t="s">
        <v>35</v>
      </c>
      <c r="C15" t="s">
        <v>16</v>
      </c>
      <c r="D15" t="s">
        <v>36</v>
      </c>
      <c r="E15">
        <v>147</v>
      </c>
      <c r="F15">
        <v>15</v>
      </c>
      <c r="G15" t="s">
        <v>10</v>
      </c>
    </row>
    <row r="16" spans="1:7" x14ac:dyDescent="0.2">
      <c r="A16">
        <v>3</v>
      </c>
      <c r="B16" t="s">
        <v>37</v>
      </c>
      <c r="C16" t="s">
        <v>19</v>
      </c>
      <c r="D16" t="s">
        <v>20</v>
      </c>
      <c r="E16">
        <v>58</v>
      </c>
      <c r="F16">
        <v>20</v>
      </c>
      <c r="G16" t="s">
        <v>10</v>
      </c>
    </row>
    <row r="17" spans="1:7" x14ac:dyDescent="0.2">
      <c r="A17">
        <v>3</v>
      </c>
      <c r="B17" t="s">
        <v>37</v>
      </c>
      <c r="C17" t="s">
        <v>19</v>
      </c>
      <c r="D17" t="s">
        <v>26</v>
      </c>
      <c r="E17">
        <v>25</v>
      </c>
      <c r="F17">
        <v>25</v>
      </c>
      <c r="G17" t="s">
        <v>14</v>
      </c>
    </row>
    <row r="18" spans="1:7" x14ac:dyDescent="0.2">
      <c r="A18">
        <v>9</v>
      </c>
      <c r="B18" t="s">
        <v>27</v>
      </c>
      <c r="C18" t="s">
        <v>12</v>
      </c>
      <c r="D18" t="s">
        <v>24</v>
      </c>
      <c r="E18">
        <v>93</v>
      </c>
      <c r="F18">
        <v>15</v>
      </c>
      <c r="G18" t="s">
        <v>10</v>
      </c>
    </row>
    <row r="19" spans="1:7" x14ac:dyDescent="0.2">
      <c r="A19">
        <v>12</v>
      </c>
      <c r="B19" t="s">
        <v>28</v>
      </c>
      <c r="C19" t="s">
        <v>29</v>
      </c>
      <c r="D19" t="s">
        <v>30</v>
      </c>
      <c r="E19">
        <v>53</v>
      </c>
      <c r="F19">
        <v>35</v>
      </c>
      <c r="G19" t="s">
        <v>10</v>
      </c>
    </row>
    <row r="20" spans="1:7" x14ac:dyDescent="0.2">
      <c r="A20">
        <v>9</v>
      </c>
      <c r="B20" t="s">
        <v>27</v>
      </c>
      <c r="C20" t="s">
        <v>12</v>
      </c>
      <c r="D20" t="s">
        <v>38</v>
      </c>
      <c r="E20">
        <v>155</v>
      </c>
      <c r="F20">
        <v>35</v>
      </c>
      <c r="G20" t="s">
        <v>10</v>
      </c>
    </row>
    <row r="21" spans="1:7" x14ac:dyDescent="0.2">
      <c r="A21">
        <v>6</v>
      </c>
      <c r="B21" t="s">
        <v>39</v>
      </c>
      <c r="C21" t="s">
        <v>12</v>
      </c>
      <c r="D21" t="s">
        <v>40</v>
      </c>
      <c r="E21">
        <v>62</v>
      </c>
      <c r="F21">
        <v>15</v>
      </c>
      <c r="G21" t="s">
        <v>10</v>
      </c>
    </row>
    <row r="22" spans="1:7" x14ac:dyDescent="0.2">
      <c r="A22">
        <v>15</v>
      </c>
      <c r="B22" t="s">
        <v>41</v>
      </c>
      <c r="C22" t="s">
        <v>19</v>
      </c>
      <c r="D22" t="s">
        <v>42</v>
      </c>
      <c r="E22">
        <v>69</v>
      </c>
      <c r="F22">
        <v>35</v>
      </c>
      <c r="G22" t="s">
        <v>10</v>
      </c>
    </row>
    <row r="23" spans="1:7" x14ac:dyDescent="0.2">
      <c r="A23">
        <v>18</v>
      </c>
      <c r="B23" t="s">
        <v>15</v>
      </c>
      <c r="C23" t="s">
        <v>16</v>
      </c>
      <c r="D23" t="s">
        <v>23</v>
      </c>
      <c r="E23">
        <v>83</v>
      </c>
      <c r="F23">
        <v>10</v>
      </c>
      <c r="G23" t="s">
        <v>10</v>
      </c>
    </row>
    <row r="24" spans="1:7" x14ac:dyDescent="0.2">
      <c r="A24">
        <v>8</v>
      </c>
      <c r="B24" t="s">
        <v>11</v>
      </c>
      <c r="C24" t="s">
        <v>12</v>
      </c>
      <c r="D24" t="s">
        <v>38</v>
      </c>
      <c r="E24">
        <v>80</v>
      </c>
      <c r="F24">
        <v>25</v>
      </c>
      <c r="G24" t="s">
        <v>10</v>
      </c>
    </row>
    <row r="25" spans="1:7" x14ac:dyDescent="0.2">
      <c r="A25">
        <v>9</v>
      </c>
      <c r="B25" t="s">
        <v>27</v>
      </c>
      <c r="C25" t="s">
        <v>12</v>
      </c>
      <c r="D25" t="s">
        <v>38</v>
      </c>
      <c r="E25">
        <v>54</v>
      </c>
      <c r="F25">
        <v>30</v>
      </c>
      <c r="G25" t="s">
        <v>10</v>
      </c>
    </row>
    <row r="26" spans="1:7" x14ac:dyDescent="0.2">
      <c r="A26">
        <v>11</v>
      </c>
      <c r="B26" t="s">
        <v>43</v>
      </c>
      <c r="C26" t="s">
        <v>29</v>
      </c>
      <c r="D26" t="s">
        <v>44</v>
      </c>
      <c r="E26">
        <v>127</v>
      </c>
      <c r="F26">
        <v>25</v>
      </c>
      <c r="G26" t="s">
        <v>10</v>
      </c>
    </row>
    <row r="27" spans="1:7" x14ac:dyDescent="0.2">
      <c r="A27">
        <v>15</v>
      </c>
      <c r="B27" t="s">
        <v>41</v>
      </c>
      <c r="C27" t="s">
        <v>19</v>
      </c>
      <c r="D27" t="s">
        <v>45</v>
      </c>
      <c r="E27">
        <v>67</v>
      </c>
      <c r="F27">
        <v>15</v>
      </c>
      <c r="G27" t="s">
        <v>10</v>
      </c>
    </row>
    <row r="28" spans="1:7" x14ac:dyDescent="0.2">
      <c r="A28">
        <v>8</v>
      </c>
      <c r="B28" t="s">
        <v>11</v>
      </c>
      <c r="C28" t="s">
        <v>12</v>
      </c>
      <c r="D28" t="s">
        <v>22</v>
      </c>
      <c r="E28">
        <v>137</v>
      </c>
      <c r="F28">
        <v>20</v>
      </c>
      <c r="G28" t="s">
        <v>10</v>
      </c>
    </row>
    <row r="29" spans="1:7" x14ac:dyDescent="0.2">
      <c r="A29">
        <v>19</v>
      </c>
      <c r="B29" t="s">
        <v>46</v>
      </c>
      <c r="C29" t="s">
        <v>16</v>
      </c>
      <c r="D29" t="s">
        <v>47</v>
      </c>
      <c r="E29">
        <v>149</v>
      </c>
      <c r="F29">
        <v>25</v>
      </c>
      <c r="G29" t="s">
        <v>10</v>
      </c>
    </row>
    <row r="30" spans="1:7" x14ac:dyDescent="0.2">
      <c r="A30">
        <v>12</v>
      </c>
      <c r="B30" t="s">
        <v>28</v>
      </c>
      <c r="C30" t="s">
        <v>29</v>
      </c>
      <c r="D30" t="s">
        <v>44</v>
      </c>
      <c r="E30">
        <v>35</v>
      </c>
      <c r="F30">
        <v>30</v>
      </c>
      <c r="G30" t="s">
        <v>10</v>
      </c>
    </row>
    <row r="31" spans="1:7" x14ac:dyDescent="0.2">
      <c r="A31">
        <v>16</v>
      </c>
      <c r="B31" t="s">
        <v>48</v>
      </c>
      <c r="C31" t="s">
        <v>49</v>
      </c>
      <c r="D31" t="s">
        <v>17</v>
      </c>
      <c r="E31">
        <v>12</v>
      </c>
      <c r="F31">
        <v>10</v>
      </c>
      <c r="G31" t="s">
        <v>21</v>
      </c>
    </row>
    <row r="32" spans="1:7" x14ac:dyDescent="0.2">
      <c r="A32">
        <v>5</v>
      </c>
      <c r="B32" t="s">
        <v>50</v>
      </c>
      <c r="C32" t="s">
        <v>33</v>
      </c>
      <c r="D32" t="s">
        <v>51</v>
      </c>
      <c r="E32">
        <v>108</v>
      </c>
      <c r="F32">
        <v>30</v>
      </c>
      <c r="G32" t="s">
        <v>10</v>
      </c>
    </row>
    <row r="33" spans="1:7" x14ac:dyDescent="0.2">
      <c r="A33">
        <v>3</v>
      </c>
      <c r="B33" t="s">
        <v>37</v>
      </c>
      <c r="C33" t="s">
        <v>19</v>
      </c>
      <c r="D33" t="s">
        <v>31</v>
      </c>
      <c r="E33">
        <v>97</v>
      </c>
      <c r="F33">
        <v>30</v>
      </c>
      <c r="G33" t="s">
        <v>10</v>
      </c>
    </row>
    <row r="34" spans="1:7" x14ac:dyDescent="0.2">
      <c r="A34">
        <v>15</v>
      </c>
      <c r="B34" t="s">
        <v>41</v>
      </c>
      <c r="C34" t="s">
        <v>19</v>
      </c>
      <c r="D34" t="s">
        <v>52</v>
      </c>
      <c r="E34">
        <v>64</v>
      </c>
      <c r="F34">
        <v>30</v>
      </c>
      <c r="G34" t="s">
        <v>10</v>
      </c>
    </row>
    <row r="35" spans="1:7" x14ac:dyDescent="0.2">
      <c r="A35">
        <v>1</v>
      </c>
      <c r="B35" t="s">
        <v>25</v>
      </c>
      <c r="C35" t="s">
        <v>12</v>
      </c>
      <c r="D35" t="s">
        <v>20</v>
      </c>
      <c r="E35">
        <v>137</v>
      </c>
      <c r="F35">
        <v>20</v>
      </c>
      <c r="G35" t="s">
        <v>10</v>
      </c>
    </row>
    <row r="36" spans="1:7" x14ac:dyDescent="0.2">
      <c r="A36">
        <v>11</v>
      </c>
      <c r="B36" t="s">
        <v>43</v>
      </c>
      <c r="C36" t="s">
        <v>29</v>
      </c>
      <c r="D36" t="s">
        <v>53</v>
      </c>
      <c r="E36">
        <v>75</v>
      </c>
      <c r="F36">
        <v>25</v>
      </c>
      <c r="G36" t="s">
        <v>10</v>
      </c>
    </row>
    <row r="37" spans="1:7" x14ac:dyDescent="0.2">
      <c r="A37">
        <v>6</v>
      </c>
      <c r="B37" t="s">
        <v>39</v>
      </c>
      <c r="C37" t="s">
        <v>12</v>
      </c>
      <c r="D37" t="s">
        <v>54</v>
      </c>
      <c r="E37">
        <v>0</v>
      </c>
      <c r="F37">
        <v>35</v>
      </c>
      <c r="G37" t="s">
        <v>14</v>
      </c>
    </row>
    <row r="38" spans="1:7" x14ac:dyDescent="0.2">
      <c r="A38">
        <v>9</v>
      </c>
      <c r="B38" t="s">
        <v>27</v>
      </c>
      <c r="C38" t="s">
        <v>12</v>
      </c>
      <c r="D38" t="s">
        <v>22</v>
      </c>
      <c r="E38">
        <v>45</v>
      </c>
      <c r="F38">
        <v>30</v>
      </c>
      <c r="G38" t="s">
        <v>10</v>
      </c>
    </row>
    <row r="39" spans="1:7" x14ac:dyDescent="0.2">
      <c r="A39">
        <v>4</v>
      </c>
      <c r="B39" t="s">
        <v>7</v>
      </c>
      <c r="C39" t="s">
        <v>8</v>
      </c>
      <c r="D39" t="s">
        <v>55</v>
      </c>
      <c r="E39">
        <v>129</v>
      </c>
      <c r="F39">
        <v>30</v>
      </c>
      <c r="G39" t="s">
        <v>10</v>
      </c>
    </row>
    <row r="40" spans="1:7" x14ac:dyDescent="0.2">
      <c r="A40">
        <v>7</v>
      </c>
      <c r="B40" t="s">
        <v>56</v>
      </c>
      <c r="C40" t="s">
        <v>57</v>
      </c>
      <c r="D40" t="s">
        <v>13</v>
      </c>
      <c r="E40">
        <v>95</v>
      </c>
      <c r="F40">
        <v>15</v>
      </c>
      <c r="G40" t="s">
        <v>10</v>
      </c>
    </row>
    <row r="41" spans="1:7" x14ac:dyDescent="0.2">
      <c r="A41">
        <v>18</v>
      </c>
      <c r="B41" t="s">
        <v>15</v>
      </c>
      <c r="C41" t="s">
        <v>16</v>
      </c>
      <c r="D41" t="s">
        <v>58</v>
      </c>
      <c r="E41">
        <v>0</v>
      </c>
      <c r="F41">
        <v>30</v>
      </c>
      <c r="G41" t="s">
        <v>14</v>
      </c>
    </row>
    <row r="42" spans="1:7" x14ac:dyDescent="0.2">
      <c r="A42">
        <v>11</v>
      </c>
      <c r="B42" t="s">
        <v>43</v>
      </c>
      <c r="C42" t="s">
        <v>29</v>
      </c>
      <c r="D42" t="s">
        <v>59</v>
      </c>
      <c r="E42">
        <v>4</v>
      </c>
      <c r="F42">
        <v>10</v>
      </c>
      <c r="G42" t="s">
        <v>14</v>
      </c>
    </row>
    <row r="43" spans="1:7" x14ac:dyDescent="0.2">
      <c r="A43">
        <v>12</v>
      </c>
      <c r="B43" t="s">
        <v>28</v>
      </c>
      <c r="C43" t="s">
        <v>29</v>
      </c>
      <c r="D43" t="s">
        <v>30</v>
      </c>
      <c r="E43">
        <v>61</v>
      </c>
      <c r="F43">
        <v>10</v>
      </c>
      <c r="G43" t="s">
        <v>10</v>
      </c>
    </row>
    <row r="44" spans="1:7" x14ac:dyDescent="0.2">
      <c r="A44">
        <v>8</v>
      </c>
      <c r="B44" t="s">
        <v>11</v>
      </c>
      <c r="C44" t="s">
        <v>12</v>
      </c>
      <c r="D44" t="s">
        <v>22</v>
      </c>
      <c r="E44">
        <v>20</v>
      </c>
      <c r="F44">
        <v>10</v>
      </c>
      <c r="G44" t="s">
        <v>21</v>
      </c>
    </row>
    <row r="45" spans="1:7" x14ac:dyDescent="0.2">
      <c r="A45">
        <v>16</v>
      </c>
      <c r="B45" t="s">
        <v>48</v>
      </c>
      <c r="C45" t="s">
        <v>49</v>
      </c>
      <c r="D45" t="s">
        <v>17</v>
      </c>
      <c r="E45">
        <v>136</v>
      </c>
      <c r="F45">
        <v>15</v>
      </c>
      <c r="G45" t="s">
        <v>10</v>
      </c>
    </row>
    <row r="46" spans="1:7" x14ac:dyDescent="0.2">
      <c r="A46">
        <v>5</v>
      </c>
      <c r="B46" t="s">
        <v>50</v>
      </c>
      <c r="C46" t="s">
        <v>33</v>
      </c>
      <c r="D46" t="s">
        <v>54</v>
      </c>
      <c r="E46">
        <v>140</v>
      </c>
      <c r="F46">
        <v>15</v>
      </c>
      <c r="G46" t="s">
        <v>10</v>
      </c>
    </row>
    <row r="47" spans="1:7" x14ac:dyDescent="0.2">
      <c r="A47">
        <v>9</v>
      </c>
      <c r="B47" t="s">
        <v>27</v>
      </c>
      <c r="C47" t="s">
        <v>12</v>
      </c>
      <c r="D47" t="s">
        <v>22</v>
      </c>
      <c r="E47">
        <v>155</v>
      </c>
      <c r="F47">
        <v>25</v>
      </c>
      <c r="G47" t="s">
        <v>10</v>
      </c>
    </row>
    <row r="48" spans="1:7" x14ac:dyDescent="0.2">
      <c r="A48">
        <v>7</v>
      </c>
      <c r="B48" t="s">
        <v>56</v>
      </c>
      <c r="C48" t="s">
        <v>57</v>
      </c>
      <c r="D48" t="s">
        <v>22</v>
      </c>
      <c r="E48">
        <v>51</v>
      </c>
      <c r="F48">
        <v>35</v>
      </c>
      <c r="G48" t="s">
        <v>10</v>
      </c>
    </row>
    <row r="49" spans="1:7" x14ac:dyDescent="0.2">
      <c r="A49">
        <v>10</v>
      </c>
      <c r="B49" t="s">
        <v>60</v>
      </c>
      <c r="C49" t="s">
        <v>12</v>
      </c>
      <c r="D49" t="s">
        <v>59</v>
      </c>
      <c r="E49">
        <v>95</v>
      </c>
      <c r="F49">
        <v>25</v>
      </c>
      <c r="G49" t="s">
        <v>10</v>
      </c>
    </row>
    <row r="50" spans="1:7" x14ac:dyDescent="0.2">
      <c r="A50">
        <v>17</v>
      </c>
      <c r="B50" t="s">
        <v>61</v>
      </c>
      <c r="C50" t="s">
        <v>49</v>
      </c>
      <c r="D50" t="s">
        <v>62</v>
      </c>
      <c r="E50">
        <v>30</v>
      </c>
      <c r="F50">
        <v>15</v>
      </c>
      <c r="G50" t="s">
        <v>10</v>
      </c>
    </row>
    <row r="51" spans="1:7" x14ac:dyDescent="0.2">
      <c r="A51">
        <v>8</v>
      </c>
      <c r="B51" t="s">
        <v>11</v>
      </c>
      <c r="C51" t="s">
        <v>12</v>
      </c>
      <c r="D51" t="s">
        <v>38</v>
      </c>
      <c r="E51">
        <v>86</v>
      </c>
      <c r="F51">
        <v>10</v>
      </c>
      <c r="G51" t="s">
        <v>10</v>
      </c>
    </row>
    <row r="52" spans="1:7" x14ac:dyDescent="0.2">
      <c r="A52">
        <v>19</v>
      </c>
      <c r="B52" t="s">
        <v>46</v>
      </c>
      <c r="C52" t="s">
        <v>16</v>
      </c>
      <c r="D52" t="s">
        <v>63</v>
      </c>
      <c r="E52">
        <v>58</v>
      </c>
      <c r="F52">
        <v>30</v>
      </c>
      <c r="G52" t="s">
        <v>10</v>
      </c>
    </row>
    <row r="53" spans="1:7" x14ac:dyDescent="0.2">
      <c r="A53">
        <v>8</v>
      </c>
      <c r="B53" t="s">
        <v>11</v>
      </c>
      <c r="C53" t="s">
        <v>12</v>
      </c>
      <c r="D53" t="s">
        <v>38</v>
      </c>
      <c r="E53">
        <v>18</v>
      </c>
      <c r="F53">
        <v>35</v>
      </c>
      <c r="G53" t="s">
        <v>14</v>
      </c>
    </row>
    <row r="54" spans="1:7" x14ac:dyDescent="0.2">
      <c r="A54">
        <v>2</v>
      </c>
      <c r="B54" t="s">
        <v>18</v>
      </c>
      <c r="C54" t="s">
        <v>19</v>
      </c>
      <c r="D54" t="s">
        <v>26</v>
      </c>
      <c r="E54">
        <v>17</v>
      </c>
      <c r="F54">
        <v>10</v>
      </c>
      <c r="G54" t="s">
        <v>21</v>
      </c>
    </row>
    <row r="55" spans="1:7" x14ac:dyDescent="0.2">
      <c r="A55">
        <v>11</v>
      </c>
      <c r="B55" t="s">
        <v>43</v>
      </c>
      <c r="C55" t="s">
        <v>29</v>
      </c>
      <c r="D55" t="s">
        <v>53</v>
      </c>
      <c r="E55">
        <v>131</v>
      </c>
      <c r="F55">
        <v>15</v>
      </c>
      <c r="G55" t="s">
        <v>10</v>
      </c>
    </row>
    <row r="56" spans="1:7" x14ac:dyDescent="0.2">
      <c r="A56">
        <v>9</v>
      </c>
      <c r="B56" t="s">
        <v>27</v>
      </c>
      <c r="C56" t="s">
        <v>12</v>
      </c>
      <c r="D56" t="s">
        <v>24</v>
      </c>
      <c r="E56">
        <v>54</v>
      </c>
      <c r="F56">
        <v>30</v>
      </c>
      <c r="G56" t="s">
        <v>10</v>
      </c>
    </row>
    <row r="57" spans="1:7" x14ac:dyDescent="0.2">
      <c r="A57">
        <v>5</v>
      </c>
      <c r="B57" t="s">
        <v>50</v>
      </c>
      <c r="C57" t="s">
        <v>33</v>
      </c>
      <c r="D57" t="s">
        <v>40</v>
      </c>
      <c r="E57">
        <v>147</v>
      </c>
      <c r="F57">
        <v>25</v>
      </c>
      <c r="G57" t="s">
        <v>10</v>
      </c>
    </row>
    <row r="58" spans="1:7" x14ac:dyDescent="0.2">
      <c r="A58">
        <v>8</v>
      </c>
      <c r="B58" t="s">
        <v>11</v>
      </c>
      <c r="C58" t="s">
        <v>12</v>
      </c>
      <c r="D58" t="s">
        <v>24</v>
      </c>
      <c r="E58">
        <v>104</v>
      </c>
      <c r="F58">
        <v>15</v>
      </c>
      <c r="G58" t="s">
        <v>10</v>
      </c>
    </row>
    <row r="59" spans="1:7" x14ac:dyDescent="0.2">
      <c r="A59">
        <v>4</v>
      </c>
      <c r="B59" t="s">
        <v>7</v>
      </c>
      <c r="C59" t="s">
        <v>8</v>
      </c>
      <c r="D59" t="s">
        <v>9</v>
      </c>
      <c r="E59">
        <v>110</v>
      </c>
      <c r="F59">
        <v>20</v>
      </c>
      <c r="G59" t="s">
        <v>10</v>
      </c>
    </row>
    <row r="60" spans="1:7" x14ac:dyDescent="0.2">
      <c r="A60">
        <v>14</v>
      </c>
      <c r="B60" t="s">
        <v>64</v>
      </c>
      <c r="C60" t="s">
        <v>33</v>
      </c>
      <c r="D60" t="s">
        <v>42</v>
      </c>
      <c r="E60">
        <v>119</v>
      </c>
      <c r="F60">
        <v>35</v>
      </c>
      <c r="G60" t="s">
        <v>10</v>
      </c>
    </row>
    <row r="61" spans="1:7" x14ac:dyDescent="0.2">
      <c r="A61">
        <v>2</v>
      </c>
      <c r="B61" t="s">
        <v>18</v>
      </c>
      <c r="C61" t="s">
        <v>19</v>
      </c>
      <c r="D61" t="s">
        <v>20</v>
      </c>
      <c r="E61">
        <v>15</v>
      </c>
      <c r="F61">
        <v>25</v>
      </c>
      <c r="G61" t="s">
        <v>14</v>
      </c>
    </row>
    <row r="62" spans="1:7" x14ac:dyDescent="0.2">
      <c r="A62">
        <v>11</v>
      </c>
      <c r="B62" t="s">
        <v>43</v>
      </c>
      <c r="C62" t="s">
        <v>29</v>
      </c>
      <c r="D62" t="s">
        <v>53</v>
      </c>
      <c r="E62">
        <v>63</v>
      </c>
      <c r="F62">
        <v>15</v>
      </c>
      <c r="G62" t="s">
        <v>10</v>
      </c>
    </row>
    <row r="63" spans="1:7" x14ac:dyDescent="0.2">
      <c r="A63">
        <v>7</v>
      </c>
      <c r="B63" t="s">
        <v>56</v>
      </c>
      <c r="C63" t="s">
        <v>57</v>
      </c>
      <c r="D63" t="s">
        <v>22</v>
      </c>
      <c r="E63">
        <v>114</v>
      </c>
      <c r="F63">
        <v>15</v>
      </c>
      <c r="G63" t="s">
        <v>10</v>
      </c>
    </row>
    <row r="64" spans="1:7" x14ac:dyDescent="0.2">
      <c r="A64">
        <v>14</v>
      </c>
      <c r="B64" t="s">
        <v>64</v>
      </c>
      <c r="C64" t="s">
        <v>33</v>
      </c>
      <c r="D64" t="s">
        <v>45</v>
      </c>
      <c r="E64">
        <v>71</v>
      </c>
      <c r="F64">
        <v>25</v>
      </c>
      <c r="G64" t="s">
        <v>10</v>
      </c>
    </row>
    <row r="65" spans="1:7" x14ac:dyDescent="0.2">
      <c r="A65">
        <v>8</v>
      </c>
      <c r="B65" t="s">
        <v>11</v>
      </c>
      <c r="C65" t="s">
        <v>12</v>
      </c>
      <c r="D65" t="s">
        <v>38</v>
      </c>
      <c r="E65">
        <v>113</v>
      </c>
      <c r="F65">
        <v>30</v>
      </c>
      <c r="G65" t="s">
        <v>10</v>
      </c>
    </row>
    <row r="66" spans="1:7" x14ac:dyDescent="0.2">
      <c r="A66">
        <v>4</v>
      </c>
      <c r="B66" t="s">
        <v>7</v>
      </c>
      <c r="C66" t="s">
        <v>8</v>
      </c>
      <c r="D66" t="s">
        <v>9</v>
      </c>
      <c r="E66">
        <v>138</v>
      </c>
      <c r="F66">
        <v>10</v>
      </c>
      <c r="G66" t="s">
        <v>10</v>
      </c>
    </row>
    <row r="67" spans="1:7" x14ac:dyDescent="0.2">
      <c r="A67">
        <v>3</v>
      </c>
      <c r="B67" t="s">
        <v>37</v>
      </c>
      <c r="C67" t="s">
        <v>19</v>
      </c>
      <c r="D67" t="s">
        <v>26</v>
      </c>
      <c r="E67">
        <v>42</v>
      </c>
      <c r="F67">
        <v>25</v>
      </c>
      <c r="G67" t="s">
        <v>10</v>
      </c>
    </row>
    <row r="68" spans="1:7" x14ac:dyDescent="0.2">
      <c r="A68">
        <v>16</v>
      </c>
      <c r="B68" t="s">
        <v>48</v>
      </c>
      <c r="C68" t="s">
        <v>49</v>
      </c>
      <c r="D68" t="s">
        <v>62</v>
      </c>
      <c r="E68">
        <v>54</v>
      </c>
      <c r="F68">
        <v>25</v>
      </c>
      <c r="G68" t="s">
        <v>10</v>
      </c>
    </row>
    <row r="69" spans="1:7" x14ac:dyDescent="0.2">
      <c r="A69">
        <v>2</v>
      </c>
      <c r="B69" t="s">
        <v>18</v>
      </c>
      <c r="C69" t="s">
        <v>19</v>
      </c>
      <c r="D69" t="s">
        <v>26</v>
      </c>
      <c r="E69">
        <v>97</v>
      </c>
      <c r="F69">
        <v>10</v>
      </c>
      <c r="G69" t="s">
        <v>10</v>
      </c>
    </row>
    <row r="70" spans="1:7" x14ac:dyDescent="0.2">
      <c r="A70">
        <v>13</v>
      </c>
      <c r="B70" t="s">
        <v>32</v>
      </c>
      <c r="C70" t="s">
        <v>33</v>
      </c>
      <c r="D70" t="s">
        <v>65</v>
      </c>
      <c r="E70">
        <v>116</v>
      </c>
      <c r="F70">
        <v>20</v>
      </c>
      <c r="G70" t="s">
        <v>10</v>
      </c>
    </row>
    <row r="71" spans="1:7" x14ac:dyDescent="0.2">
      <c r="A71">
        <v>14</v>
      </c>
      <c r="B71" t="s">
        <v>64</v>
      </c>
      <c r="C71" t="s">
        <v>33</v>
      </c>
      <c r="D71" t="s">
        <v>52</v>
      </c>
      <c r="E71">
        <v>124</v>
      </c>
      <c r="F71">
        <v>15</v>
      </c>
      <c r="G71" t="s">
        <v>10</v>
      </c>
    </row>
    <row r="72" spans="1:7" x14ac:dyDescent="0.2">
      <c r="A72">
        <v>7</v>
      </c>
      <c r="B72" t="s">
        <v>56</v>
      </c>
      <c r="C72" t="s">
        <v>57</v>
      </c>
      <c r="D72" t="s">
        <v>66</v>
      </c>
      <c r="E72">
        <v>55</v>
      </c>
      <c r="F72">
        <v>10</v>
      </c>
      <c r="G72" t="s">
        <v>10</v>
      </c>
    </row>
    <row r="73" spans="1:7" x14ac:dyDescent="0.2">
      <c r="A73">
        <v>19</v>
      </c>
      <c r="B73" t="s">
        <v>46</v>
      </c>
      <c r="C73" t="s">
        <v>16</v>
      </c>
      <c r="D73" t="s">
        <v>63</v>
      </c>
      <c r="E73">
        <v>15</v>
      </c>
      <c r="F73">
        <v>35</v>
      </c>
      <c r="G73" t="s">
        <v>14</v>
      </c>
    </row>
    <row r="74" spans="1:7" x14ac:dyDescent="0.2">
      <c r="A74">
        <v>11</v>
      </c>
      <c r="B74" t="s">
        <v>43</v>
      </c>
      <c r="C74" t="s">
        <v>29</v>
      </c>
      <c r="D74" t="s">
        <v>53</v>
      </c>
      <c r="E74">
        <v>12</v>
      </c>
      <c r="F74">
        <v>30</v>
      </c>
      <c r="G74" t="s">
        <v>14</v>
      </c>
    </row>
    <row r="75" spans="1:7" x14ac:dyDescent="0.2">
      <c r="A75">
        <v>16</v>
      </c>
      <c r="B75" t="s">
        <v>48</v>
      </c>
      <c r="C75" t="s">
        <v>49</v>
      </c>
      <c r="D75" t="s">
        <v>58</v>
      </c>
      <c r="E75">
        <v>135</v>
      </c>
      <c r="F75">
        <v>15</v>
      </c>
      <c r="G75" t="s">
        <v>10</v>
      </c>
    </row>
    <row r="76" spans="1:7" x14ac:dyDescent="0.2">
      <c r="A76">
        <v>2</v>
      </c>
      <c r="B76" t="s">
        <v>18</v>
      </c>
      <c r="C76" t="s">
        <v>19</v>
      </c>
      <c r="D76" t="s">
        <v>67</v>
      </c>
      <c r="E76">
        <v>20</v>
      </c>
      <c r="F76">
        <v>15</v>
      </c>
      <c r="G76" t="s">
        <v>21</v>
      </c>
    </row>
    <row r="77" spans="1:7" x14ac:dyDescent="0.2">
      <c r="A77">
        <v>3</v>
      </c>
      <c r="B77" t="s">
        <v>37</v>
      </c>
      <c r="C77" t="s">
        <v>19</v>
      </c>
      <c r="D77" t="s">
        <v>67</v>
      </c>
      <c r="E77">
        <v>17</v>
      </c>
      <c r="F77">
        <v>35</v>
      </c>
      <c r="G77" t="s">
        <v>14</v>
      </c>
    </row>
    <row r="78" spans="1:7" x14ac:dyDescent="0.2">
      <c r="A78">
        <v>8</v>
      </c>
      <c r="B78" t="s">
        <v>11</v>
      </c>
      <c r="C78" t="s">
        <v>12</v>
      </c>
      <c r="D78" t="s">
        <v>24</v>
      </c>
      <c r="E78">
        <v>30</v>
      </c>
      <c r="F78">
        <v>30</v>
      </c>
      <c r="G78" t="s">
        <v>14</v>
      </c>
    </row>
    <row r="79" spans="1:7" x14ac:dyDescent="0.2">
      <c r="A79">
        <v>8</v>
      </c>
      <c r="B79" t="s">
        <v>11</v>
      </c>
      <c r="C79" t="s">
        <v>12</v>
      </c>
      <c r="D79" t="s">
        <v>22</v>
      </c>
      <c r="E79">
        <v>152</v>
      </c>
      <c r="F79">
        <v>10</v>
      </c>
      <c r="G79" t="s">
        <v>10</v>
      </c>
    </row>
    <row r="80" spans="1:7" x14ac:dyDescent="0.2">
      <c r="A80">
        <v>20</v>
      </c>
      <c r="B80" t="s">
        <v>35</v>
      </c>
      <c r="C80" t="s">
        <v>16</v>
      </c>
      <c r="D80" t="s">
        <v>68</v>
      </c>
      <c r="E80">
        <v>107</v>
      </c>
      <c r="F80">
        <v>35</v>
      </c>
      <c r="G80" t="s">
        <v>10</v>
      </c>
    </row>
    <row r="81" spans="1:7" x14ac:dyDescent="0.2">
      <c r="A81">
        <v>19</v>
      </c>
      <c r="B81" t="s">
        <v>46</v>
      </c>
      <c r="C81" t="s">
        <v>16</v>
      </c>
      <c r="D81" t="s">
        <v>63</v>
      </c>
      <c r="E81">
        <v>133</v>
      </c>
      <c r="F81">
        <v>20</v>
      </c>
      <c r="G81" t="s">
        <v>10</v>
      </c>
    </row>
    <row r="82" spans="1:7" x14ac:dyDescent="0.2">
      <c r="A82">
        <v>9</v>
      </c>
      <c r="B82" t="s">
        <v>27</v>
      </c>
      <c r="C82" t="s">
        <v>12</v>
      </c>
      <c r="D82" t="s">
        <v>13</v>
      </c>
      <c r="E82">
        <v>80</v>
      </c>
      <c r="F82">
        <v>15</v>
      </c>
      <c r="G82" t="s">
        <v>10</v>
      </c>
    </row>
    <row r="83" spans="1:7" x14ac:dyDescent="0.2">
      <c r="A83">
        <v>9</v>
      </c>
      <c r="B83" t="s">
        <v>27</v>
      </c>
      <c r="C83" t="s">
        <v>12</v>
      </c>
      <c r="D83" t="s">
        <v>24</v>
      </c>
      <c r="E83">
        <v>33</v>
      </c>
      <c r="F83">
        <v>35</v>
      </c>
      <c r="G83" t="s">
        <v>14</v>
      </c>
    </row>
    <row r="84" spans="1:7" x14ac:dyDescent="0.2">
      <c r="A84">
        <v>10</v>
      </c>
      <c r="B84" t="s">
        <v>60</v>
      </c>
      <c r="C84" t="s">
        <v>12</v>
      </c>
      <c r="D84" t="s">
        <v>59</v>
      </c>
      <c r="E84">
        <v>80</v>
      </c>
      <c r="F84">
        <v>10</v>
      </c>
      <c r="G84" t="s">
        <v>10</v>
      </c>
    </row>
    <row r="85" spans="1:7" x14ac:dyDescent="0.2">
      <c r="A85">
        <v>1</v>
      </c>
      <c r="B85" t="s">
        <v>25</v>
      </c>
      <c r="C85" t="s">
        <v>12</v>
      </c>
      <c r="D85" t="s">
        <v>31</v>
      </c>
      <c r="E85">
        <v>159</v>
      </c>
      <c r="F85">
        <v>30</v>
      </c>
      <c r="G85" t="s">
        <v>10</v>
      </c>
    </row>
    <row r="86" spans="1:7" x14ac:dyDescent="0.2">
      <c r="A86">
        <v>4</v>
      </c>
      <c r="B86" t="s">
        <v>7</v>
      </c>
      <c r="C86" t="s">
        <v>8</v>
      </c>
      <c r="D86" t="s">
        <v>9</v>
      </c>
      <c r="E86">
        <v>137</v>
      </c>
      <c r="F86">
        <v>15</v>
      </c>
      <c r="G86" t="s">
        <v>10</v>
      </c>
    </row>
    <row r="87" spans="1:7" x14ac:dyDescent="0.2">
      <c r="A87">
        <v>17</v>
      </c>
      <c r="B87" t="s">
        <v>61</v>
      </c>
      <c r="C87" t="s">
        <v>49</v>
      </c>
      <c r="D87" t="s">
        <v>69</v>
      </c>
      <c r="E87">
        <v>33</v>
      </c>
      <c r="F87">
        <v>20</v>
      </c>
      <c r="G87" t="s">
        <v>10</v>
      </c>
    </row>
    <row r="88" spans="1:7" x14ac:dyDescent="0.2">
      <c r="A88">
        <v>3</v>
      </c>
      <c r="B88" t="s">
        <v>37</v>
      </c>
      <c r="C88" t="s">
        <v>19</v>
      </c>
      <c r="D88" t="s">
        <v>26</v>
      </c>
      <c r="E88">
        <v>94</v>
      </c>
      <c r="F88">
        <v>20</v>
      </c>
      <c r="G88" t="s">
        <v>10</v>
      </c>
    </row>
    <row r="89" spans="1:7" x14ac:dyDescent="0.2">
      <c r="A89">
        <v>6</v>
      </c>
      <c r="B89" t="s">
        <v>39</v>
      </c>
      <c r="C89" t="s">
        <v>12</v>
      </c>
      <c r="D89" t="s">
        <v>54</v>
      </c>
      <c r="E89">
        <v>139</v>
      </c>
      <c r="F89">
        <v>35</v>
      </c>
      <c r="G89" t="s">
        <v>10</v>
      </c>
    </row>
    <row r="90" spans="1:7" x14ac:dyDescent="0.2">
      <c r="A90">
        <v>10</v>
      </c>
      <c r="B90" t="s">
        <v>60</v>
      </c>
      <c r="C90" t="s">
        <v>12</v>
      </c>
      <c r="D90" t="s">
        <v>70</v>
      </c>
      <c r="E90">
        <v>135</v>
      </c>
      <c r="F90">
        <v>10</v>
      </c>
      <c r="G90" t="s">
        <v>10</v>
      </c>
    </row>
    <row r="91" spans="1:7" x14ac:dyDescent="0.2">
      <c r="A91">
        <v>18</v>
      </c>
      <c r="B91" t="s">
        <v>15</v>
      </c>
      <c r="C91" t="s">
        <v>16</v>
      </c>
      <c r="D91" t="s">
        <v>69</v>
      </c>
      <c r="E91">
        <v>26</v>
      </c>
      <c r="F91">
        <v>15</v>
      </c>
      <c r="G91" t="s">
        <v>21</v>
      </c>
    </row>
    <row r="92" spans="1:7" x14ac:dyDescent="0.2">
      <c r="A92">
        <v>9</v>
      </c>
      <c r="B92" t="s">
        <v>27</v>
      </c>
      <c r="C92" t="s">
        <v>12</v>
      </c>
      <c r="D92" t="s">
        <v>38</v>
      </c>
      <c r="E92">
        <v>27</v>
      </c>
      <c r="F92">
        <v>35</v>
      </c>
      <c r="G92" t="s">
        <v>14</v>
      </c>
    </row>
    <row r="93" spans="1:7" x14ac:dyDescent="0.2">
      <c r="A93">
        <v>18</v>
      </c>
      <c r="B93" t="s">
        <v>15</v>
      </c>
      <c r="C93" t="s">
        <v>16</v>
      </c>
      <c r="D93" t="s">
        <v>23</v>
      </c>
      <c r="E93">
        <v>69</v>
      </c>
      <c r="F93">
        <v>20</v>
      </c>
      <c r="G93" t="s">
        <v>10</v>
      </c>
    </row>
    <row r="94" spans="1:7" x14ac:dyDescent="0.2">
      <c r="A94">
        <v>20</v>
      </c>
      <c r="B94" t="s">
        <v>35</v>
      </c>
      <c r="C94" t="s">
        <v>16</v>
      </c>
      <c r="D94" t="s">
        <v>71</v>
      </c>
      <c r="E94">
        <v>87</v>
      </c>
      <c r="F94">
        <v>15</v>
      </c>
      <c r="G94" t="s">
        <v>10</v>
      </c>
    </row>
    <row r="95" spans="1:7" x14ac:dyDescent="0.2">
      <c r="A95">
        <v>9</v>
      </c>
      <c r="B95" t="s">
        <v>27</v>
      </c>
      <c r="C95" t="s">
        <v>12</v>
      </c>
      <c r="D95" t="s">
        <v>22</v>
      </c>
      <c r="E95">
        <v>125</v>
      </c>
      <c r="F95">
        <v>20</v>
      </c>
      <c r="G95" t="s">
        <v>10</v>
      </c>
    </row>
    <row r="96" spans="1:7" x14ac:dyDescent="0.2">
      <c r="A96">
        <v>2</v>
      </c>
      <c r="B96" t="s">
        <v>18</v>
      </c>
      <c r="C96" t="s">
        <v>19</v>
      </c>
      <c r="D96" t="s">
        <v>20</v>
      </c>
      <c r="E96">
        <v>108</v>
      </c>
      <c r="F96">
        <v>20</v>
      </c>
      <c r="G96" t="s">
        <v>10</v>
      </c>
    </row>
    <row r="97" spans="1:7" x14ac:dyDescent="0.2">
      <c r="A97">
        <v>2</v>
      </c>
      <c r="B97" t="s">
        <v>18</v>
      </c>
      <c r="C97" t="s">
        <v>19</v>
      </c>
      <c r="D97" t="s">
        <v>20</v>
      </c>
      <c r="E97">
        <v>85</v>
      </c>
      <c r="F97">
        <v>15</v>
      </c>
      <c r="G97" t="s">
        <v>10</v>
      </c>
    </row>
    <row r="98" spans="1:7" x14ac:dyDescent="0.2">
      <c r="A98">
        <v>9</v>
      </c>
      <c r="B98" t="s">
        <v>27</v>
      </c>
      <c r="C98" t="s">
        <v>12</v>
      </c>
      <c r="D98" t="s">
        <v>13</v>
      </c>
      <c r="E98">
        <v>113</v>
      </c>
      <c r="F98">
        <v>30</v>
      </c>
      <c r="G98" t="s">
        <v>10</v>
      </c>
    </row>
    <row r="99" spans="1:7" x14ac:dyDescent="0.2">
      <c r="A99">
        <v>14</v>
      </c>
      <c r="B99" t="s">
        <v>64</v>
      </c>
      <c r="C99" t="s">
        <v>33</v>
      </c>
      <c r="D99" t="s">
        <v>52</v>
      </c>
      <c r="E99">
        <v>2</v>
      </c>
      <c r="F99">
        <v>10</v>
      </c>
      <c r="G99" t="s">
        <v>14</v>
      </c>
    </row>
    <row r="100" spans="1:7" x14ac:dyDescent="0.2">
      <c r="A100">
        <v>3</v>
      </c>
      <c r="B100" t="s">
        <v>37</v>
      </c>
      <c r="C100" t="s">
        <v>19</v>
      </c>
      <c r="D100" t="s">
        <v>26</v>
      </c>
      <c r="E100">
        <v>139</v>
      </c>
      <c r="F100">
        <v>10</v>
      </c>
      <c r="G100" t="s">
        <v>10</v>
      </c>
    </row>
    <row r="101" spans="1:7" x14ac:dyDescent="0.2">
      <c r="A101">
        <v>12</v>
      </c>
      <c r="B101" t="s">
        <v>28</v>
      </c>
      <c r="C101" t="s">
        <v>29</v>
      </c>
      <c r="D101" t="s">
        <v>70</v>
      </c>
      <c r="E101">
        <v>141</v>
      </c>
      <c r="F101">
        <v>15</v>
      </c>
      <c r="G10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E5FE-5BBF-5542-852C-432B5CE2A48D}">
  <dimension ref="A1:F101"/>
  <sheetViews>
    <sheetView topLeftCell="A2" workbookViewId="0">
      <selection activeCell="D19" sqref="D19"/>
    </sheetView>
  </sheetViews>
  <sheetFormatPr baseColWidth="10" defaultRowHeight="16" x14ac:dyDescent="0.2"/>
  <cols>
    <col min="1" max="1" width="15.1640625" bestFit="1" customWidth="1"/>
    <col min="2" max="2" width="17.33203125" bestFit="1" customWidth="1"/>
    <col min="3" max="3" width="17.5" bestFit="1" customWidth="1"/>
    <col min="4" max="4" width="21.6640625" bestFit="1" customWidth="1"/>
    <col min="5" max="5" width="8.6640625" bestFit="1" customWidth="1"/>
    <col min="6" max="6" width="20" bestFit="1" customWidth="1"/>
  </cols>
  <sheetData>
    <row r="1" spans="1:6" x14ac:dyDescent="0.2">
      <c r="A1" t="s">
        <v>72</v>
      </c>
      <c r="B1" t="s">
        <v>73</v>
      </c>
      <c r="C1" t="s">
        <v>1</v>
      </c>
      <c r="D1" t="s">
        <v>74</v>
      </c>
      <c r="E1" t="s">
        <v>75</v>
      </c>
      <c r="F1" t="s">
        <v>76</v>
      </c>
    </row>
    <row r="2" spans="1:6" x14ac:dyDescent="0.2">
      <c r="A2">
        <v>1001</v>
      </c>
      <c r="B2" s="1">
        <v>46151</v>
      </c>
      <c r="C2" t="s">
        <v>64</v>
      </c>
      <c r="D2">
        <v>6</v>
      </c>
      <c r="E2" t="s">
        <v>77</v>
      </c>
      <c r="F2" t="s">
        <v>78</v>
      </c>
    </row>
    <row r="3" spans="1:6" x14ac:dyDescent="0.2">
      <c r="A3">
        <v>1002</v>
      </c>
      <c r="B3" s="1">
        <v>46165</v>
      </c>
      <c r="C3" t="s">
        <v>18</v>
      </c>
      <c r="D3">
        <v>27</v>
      </c>
      <c r="E3" t="s">
        <v>79</v>
      </c>
      <c r="F3" t="s">
        <v>80</v>
      </c>
    </row>
    <row r="4" spans="1:6" x14ac:dyDescent="0.2">
      <c r="A4">
        <v>1003</v>
      </c>
      <c r="B4" s="1">
        <v>46165</v>
      </c>
      <c r="C4" t="s">
        <v>7</v>
      </c>
      <c r="D4">
        <v>72</v>
      </c>
      <c r="E4" t="s">
        <v>81</v>
      </c>
      <c r="F4" t="s">
        <v>82</v>
      </c>
    </row>
    <row r="5" spans="1:6" x14ac:dyDescent="0.2">
      <c r="A5">
        <v>1004</v>
      </c>
      <c r="B5" s="1">
        <v>46152</v>
      </c>
      <c r="C5" t="s">
        <v>64</v>
      </c>
      <c r="D5">
        <v>31</v>
      </c>
      <c r="E5" t="s">
        <v>81</v>
      </c>
      <c r="F5" t="s">
        <v>82</v>
      </c>
    </row>
    <row r="6" spans="1:6" x14ac:dyDescent="0.2">
      <c r="A6">
        <v>1005</v>
      </c>
      <c r="B6" s="1">
        <v>46169</v>
      </c>
      <c r="C6" t="s">
        <v>39</v>
      </c>
      <c r="D6">
        <v>4</v>
      </c>
      <c r="E6" t="s">
        <v>77</v>
      </c>
      <c r="F6" t="s">
        <v>78</v>
      </c>
    </row>
    <row r="7" spans="1:6" x14ac:dyDescent="0.2">
      <c r="A7">
        <v>1006</v>
      </c>
      <c r="B7" s="1">
        <v>46169</v>
      </c>
      <c r="C7" t="s">
        <v>43</v>
      </c>
      <c r="D7">
        <v>86</v>
      </c>
      <c r="E7" t="s">
        <v>81</v>
      </c>
      <c r="F7" t="s">
        <v>82</v>
      </c>
    </row>
    <row r="8" spans="1:6" x14ac:dyDescent="0.2">
      <c r="A8">
        <v>1007</v>
      </c>
      <c r="B8" s="1">
        <v>46160</v>
      </c>
      <c r="C8" t="s">
        <v>11</v>
      </c>
      <c r="D8">
        <v>21</v>
      </c>
      <c r="E8" t="s">
        <v>79</v>
      </c>
      <c r="F8" t="s">
        <v>80</v>
      </c>
    </row>
    <row r="9" spans="1:6" x14ac:dyDescent="0.2">
      <c r="A9">
        <v>1008</v>
      </c>
      <c r="B9" s="1">
        <v>46167</v>
      </c>
      <c r="C9" t="s">
        <v>7</v>
      </c>
      <c r="D9">
        <v>5</v>
      </c>
      <c r="E9" t="s">
        <v>81</v>
      </c>
      <c r="F9" t="s">
        <v>82</v>
      </c>
    </row>
    <row r="10" spans="1:6" x14ac:dyDescent="0.2">
      <c r="A10">
        <v>1009</v>
      </c>
      <c r="B10" s="1">
        <v>46155</v>
      </c>
      <c r="C10" t="s">
        <v>11</v>
      </c>
      <c r="D10">
        <v>59</v>
      </c>
      <c r="E10" t="s">
        <v>77</v>
      </c>
      <c r="F10" t="s">
        <v>78</v>
      </c>
    </row>
    <row r="11" spans="1:6" x14ac:dyDescent="0.2">
      <c r="A11">
        <v>1010</v>
      </c>
      <c r="B11" s="1">
        <v>46157</v>
      </c>
      <c r="C11" t="s">
        <v>11</v>
      </c>
      <c r="D11">
        <v>4</v>
      </c>
      <c r="E11" t="s">
        <v>79</v>
      </c>
      <c r="F11" t="s">
        <v>80</v>
      </c>
    </row>
    <row r="12" spans="1:6" x14ac:dyDescent="0.2">
      <c r="A12">
        <v>1011</v>
      </c>
      <c r="B12" s="1">
        <v>46164</v>
      </c>
      <c r="C12" t="s">
        <v>32</v>
      </c>
      <c r="D12">
        <v>36</v>
      </c>
      <c r="E12" t="s">
        <v>81</v>
      </c>
      <c r="F12" t="s">
        <v>82</v>
      </c>
    </row>
    <row r="13" spans="1:6" x14ac:dyDescent="0.2">
      <c r="A13">
        <v>1012</v>
      </c>
      <c r="B13" s="1">
        <v>46165</v>
      </c>
      <c r="C13" t="s">
        <v>27</v>
      </c>
      <c r="D13">
        <v>83</v>
      </c>
      <c r="E13" t="s">
        <v>79</v>
      </c>
      <c r="F13" t="s">
        <v>82</v>
      </c>
    </row>
    <row r="14" spans="1:6" x14ac:dyDescent="0.2">
      <c r="A14">
        <v>1013</v>
      </c>
      <c r="B14" s="1">
        <v>46164</v>
      </c>
      <c r="C14" t="s">
        <v>15</v>
      </c>
      <c r="D14">
        <v>4</v>
      </c>
      <c r="E14" t="s">
        <v>77</v>
      </c>
      <c r="F14" t="s">
        <v>78</v>
      </c>
    </row>
    <row r="15" spans="1:6" x14ac:dyDescent="0.2">
      <c r="A15">
        <v>1014</v>
      </c>
      <c r="B15" s="1">
        <v>46154</v>
      </c>
      <c r="C15" t="s">
        <v>27</v>
      </c>
      <c r="D15">
        <v>75</v>
      </c>
      <c r="E15" t="s">
        <v>81</v>
      </c>
      <c r="F15" t="s">
        <v>82</v>
      </c>
    </row>
    <row r="16" spans="1:6" x14ac:dyDescent="0.2">
      <c r="A16">
        <v>1015</v>
      </c>
      <c r="B16" s="1">
        <v>46145</v>
      </c>
      <c r="C16" t="s">
        <v>27</v>
      </c>
      <c r="D16">
        <v>14</v>
      </c>
      <c r="E16" t="s">
        <v>79</v>
      </c>
      <c r="F16" t="s">
        <v>80</v>
      </c>
    </row>
    <row r="17" spans="1:6" x14ac:dyDescent="0.2">
      <c r="A17">
        <v>1016</v>
      </c>
      <c r="B17" s="1">
        <v>46163</v>
      </c>
      <c r="C17" t="s">
        <v>28</v>
      </c>
      <c r="D17">
        <v>56</v>
      </c>
      <c r="E17" t="s">
        <v>79</v>
      </c>
      <c r="F17" t="s">
        <v>80</v>
      </c>
    </row>
    <row r="18" spans="1:6" x14ac:dyDescent="0.2">
      <c r="A18">
        <v>1017</v>
      </c>
      <c r="B18" s="1">
        <v>46150</v>
      </c>
      <c r="C18" t="s">
        <v>61</v>
      </c>
      <c r="D18">
        <v>50</v>
      </c>
      <c r="E18" t="s">
        <v>81</v>
      </c>
      <c r="F18" t="s">
        <v>82</v>
      </c>
    </row>
    <row r="19" spans="1:6" x14ac:dyDescent="0.2">
      <c r="A19">
        <v>1018</v>
      </c>
      <c r="B19" s="1">
        <v>46159</v>
      </c>
      <c r="C19" t="s">
        <v>56</v>
      </c>
      <c r="D19">
        <v>6</v>
      </c>
      <c r="E19" t="s">
        <v>79</v>
      </c>
      <c r="F19" t="s">
        <v>80</v>
      </c>
    </row>
    <row r="20" spans="1:6" x14ac:dyDescent="0.2">
      <c r="A20">
        <v>1019</v>
      </c>
      <c r="B20" s="1">
        <v>46176</v>
      </c>
      <c r="C20" t="s">
        <v>25</v>
      </c>
      <c r="D20">
        <v>69</v>
      </c>
      <c r="E20" t="s">
        <v>79</v>
      </c>
      <c r="F20" t="s">
        <v>82</v>
      </c>
    </row>
    <row r="21" spans="1:6" x14ac:dyDescent="0.2">
      <c r="A21">
        <v>1020</v>
      </c>
      <c r="B21" s="1">
        <v>46166</v>
      </c>
      <c r="C21" t="s">
        <v>56</v>
      </c>
      <c r="D21">
        <v>56</v>
      </c>
      <c r="E21" t="s">
        <v>77</v>
      </c>
      <c r="F21" t="s">
        <v>78</v>
      </c>
    </row>
    <row r="22" spans="1:6" x14ac:dyDescent="0.2">
      <c r="A22">
        <v>1021</v>
      </c>
      <c r="B22" s="1">
        <v>46163</v>
      </c>
      <c r="C22" t="s">
        <v>43</v>
      </c>
      <c r="D22">
        <v>85</v>
      </c>
      <c r="E22" t="s">
        <v>81</v>
      </c>
      <c r="F22" t="s">
        <v>82</v>
      </c>
    </row>
    <row r="23" spans="1:6" x14ac:dyDescent="0.2">
      <c r="A23">
        <v>1022</v>
      </c>
      <c r="B23" s="1">
        <v>46175</v>
      </c>
      <c r="C23" t="s">
        <v>60</v>
      </c>
      <c r="D23">
        <v>40</v>
      </c>
      <c r="E23" t="s">
        <v>79</v>
      </c>
      <c r="F23" t="s">
        <v>80</v>
      </c>
    </row>
    <row r="24" spans="1:6" x14ac:dyDescent="0.2">
      <c r="A24">
        <v>1023</v>
      </c>
      <c r="B24" s="1">
        <v>46168</v>
      </c>
      <c r="C24" t="s">
        <v>43</v>
      </c>
      <c r="D24">
        <v>90</v>
      </c>
      <c r="E24" t="s">
        <v>77</v>
      </c>
      <c r="F24" t="s">
        <v>78</v>
      </c>
    </row>
    <row r="25" spans="1:6" x14ac:dyDescent="0.2">
      <c r="A25">
        <v>1024</v>
      </c>
      <c r="B25" s="1">
        <v>46155</v>
      </c>
      <c r="C25" t="s">
        <v>50</v>
      </c>
      <c r="D25">
        <v>54</v>
      </c>
      <c r="E25" t="s">
        <v>79</v>
      </c>
      <c r="F25" t="s">
        <v>80</v>
      </c>
    </row>
    <row r="26" spans="1:6" x14ac:dyDescent="0.2">
      <c r="A26">
        <v>1025</v>
      </c>
      <c r="B26" s="1">
        <v>46154</v>
      </c>
      <c r="C26" t="s">
        <v>32</v>
      </c>
      <c r="D26">
        <v>79</v>
      </c>
      <c r="E26" t="s">
        <v>79</v>
      </c>
      <c r="F26" t="s">
        <v>82</v>
      </c>
    </row>
    <row r="27" spans="1:6" x14ac:dyDescent="0.2">
      <c r="A27">
        <v>1026</v>
      </c>
      <c r="B27" s="1">
        <v>46178</v>
      </c>
      <c r="C27" t="s">
        <v>32</v>
      </c>
      <c r="D27">
        <v>1</v>
      </c>
      <c r="E27" t="s">
        <v>77</v>
      </c>
      <c r="F27" t="s">
        <v>78</v>
      </c>
    </row>
    <row r="28" spans="1:6" x14ac:dyDescent="0.2">
      <c r="A28">
        <v>1027</v>
      </c>
      <c r="B28" s="1">
        <v>46170</v>
      </c>
      <c r="C28" t="s">
        <v>56</v>
      </c>
      <c r="D28">
        <v>75</v>
      </c>
      <c r="E28" t="s">
        <v>79</v>
      </c>
      <c r="F28" t="s">
        <v>82</v>
      </c>
    </row>
    <row r="29" spans="1:6" x14ac:dyDescent="0.2">
      <c r="A29">
        <v>1028</v>
      </c>
      <c r="B29" s="1">
        <v>46172</v>
      </c>
      <c r="C29" t="s">
        <v>43</v>
      </c>
      <c r="D29">
        <v>57</v>
      </c>
      <c r="E29" t="s">
        <v>77</v>
      </c>
      <c r="F29" t="s">
        <v>78</v>
      </c>
    </row>
    <row r="30" spans="1:6" x14ac:dyDescent="0.2">
      <c r="A30">
        <v>1029</v>
      </c>
      <c r="B30" s="1">
        <v>46175</v>
      </c>
      <c r="C30" t="s">
        <v>56</v>
      </c>
      <c r="D30">
        <v>61</v>
      </c>
      <c r="E30" t="s">
        <v>79</v>
      </c>
      <c r="F30" t="s">
        <v>82</v>
      </c>
    </row>
    <row r="31" spans="1:6" x14ac:dyDescent="0.2">
      <c r="A31">
        <v>1030</v>
      </c>
      <c r="B31" s="1">
        <v>46148</v>
      </c>
      <c r="C31" t="s">
        <v>39</v>
      </c>
      <c r="D31">
        <v>37</v>
      </c>
      <c r="E31" t="s">
        <v>79</v>
      </c>
      <c r="F31" t="s">
        <v>80</v>
      </c>
    </row>
    <row r="32" spans="1:6" x14ac:dyDescent="0.2">
      <c r="A32">
        <v>1031</v>
      </c>
      <c r="B32" s="1">
        <v>46164</v>
      </c>
      <c r="C32" t="s">
        <v>35</v>
      </c>
      <c r="D32">
        <v>12</v>
      </c>
      <c r="E32" t="s">
        <v>81</v>
      </c>
      <c r="F32" t="s">
        <v>82</v>
      </c>
    </row>
    <row r="33" spans="1:6" x14ac:dyDescent="0.2">
      <c r="A33">
        <v>1032</v>
      </c>
      <c r="B33" s="1">
        <v>46162</v>
      </c>
      <c r="C33" t="s">
        <v>11</v>
      </c>
      <c r="D33">
        <v>29</v>
      </c>
      <c r="E33" t="s">
        <v>81</v>
      </c>
      <c r="F33" t="s">
        <v>82</v>
      </c>
    </row>
    <row r="34" spans="1:6" x14ac:dyDescent="0.2">
      <c r="A34">
        <v>1033</v>
      </c>
      <c r="B34" s="1">
        <v>46144</v>
      </c>
      <c r="C34" t="s">
        <v>50</v>
      </c>
      <c r="D34">
        <v>6</v>
      </c>
      <c r="E34" t="s">
        <v>77</v>
      </c>
      <c r="F34" t="s">
        <v>78</v>
      </c>
    </row>
    <row r="35" spans="1:6" x14ac:dyDescent="0.2">
      <c r="A35">
        <v>1034</v>
      </c>
      <c r="B35" s="1">
        <v>46147</v>
      </c>
      <c r="C35" t="s">
        <v>48</v>
      </c>
      <c r="D35">
        <v>59</v>
      </c>
      <c r="E35" t="s">
        <v>77</v>
      </c>
      <c r="F35" t="s">
        <v>78</v>
      </c>
    </row>
    <row r="36" spans="1:6" x14ac:dyDescent="0.2">
      <c r="A36">
        <v>1035</v>
      </c>
      <c r="B36" s="1">
        <v>46155</v>
      </c>
      <c r="C36" t="s">
        <v>46</v>
      </c>
      <c r="D36">
        <v>90</v>
      </c>
      <c r="E36" t="s">
        <v>77</v>
      </c>
      <c r="F36" t="s">
        <v>78</v>
      </c>
    </row>
    <row r="37" spans="1:6" x14ac:dyDescent="0.2">
      <c r="A37">
        <v>1036</v>
      </c>
      <c r="B37" s="1">
        <v>46158</v>
      </c>
      <c r="C37" t="s">
        <v>32</v>
      </c>
      <c r="D37">
        <v>19</v>
      </c>
      <c r="E37" t="s">
        <v>79</v>
      </c>
      <c r="F37" t="s">
        <v>80</v>
      </c>
    </row>
    <row r="38" spans="1:6" x14ac:dyDescent="0.2">
      <c r="A38">
        <v>1037</v>
      </c>
      <c r="B38" s="1">
        <v>46149</v>
      </c>
      <c r="C38" t="s">
        <v>25</v>
      </c>
      <c r="D38">
        <v>55</v>
      </c>
      <c r="E38" t="s">
        <v>77</v>
      </c>
      <c r="F38" t="s">
        <v>78</v>
      </c>
    </row>
    <row r="39" spans="1:6" x14ac:dyDescent="0.2">
      <c r="A39">
        <v>1038</v>
      </c>
      <c r="B39" s="1">
        <v>46172</v>
      </c>
      <c r="C39" t="s">
        <v>61</v>
      </c>
      <c r="D39">
        <v>7</v>
      </c>
      <c r="E39" t="s">
        <v>79</v>
      </c>
      <c r="F39" t="s">
        <v>80</v>
      </c>
    </row>
    <row r="40" spans="1:6" x14ac:dyDescent="0.2">
      <c r="A40">
        <v>1039</v>
      </c>
      <c r="B40" s="1">
        <v>46172</v>
      </c>
      <c r="C40" t="s">
        <v>7</v>
      </c>
      <c r="D40">
        <v>18</v>
      </c>
      <c r="E40" t="s">
        <v>81</v>
      </c>
      <c r="F40" t="s">
        <v>82</v>
      </c>
    </row>
    <row r="41" spans="1:6" x14ac:dyDescent="0.2">
      <c r="A41">
        <v>1040</v>
      </c>
      <c r="B41" s="1">
        <v>46178</v>
      </c>
      <c r="C41" t="s">
        <v>61</v>
      </c>
      <c r="D41">
        <v>77</v>
      </c>
      <c r="E41" t="s">
        <v>77</v>
      </c>
      <c r="F41" t="s">
        <v>78</v>
      </c>
    </row>
    <row r="42" spans="1:6" x14ac:dyDescent="0.2">
      <c r="A42">
        <v>1041</v>
      </c>
      <c r="B42" s="1">
        <v>46175</v>
      </c>
      <c r="C42" t="s">
        <v>41</v>
      </c>
      <c r="D42">
        <v>55</v>
      </c>
      <c r="E42" t="s">
        <v>81</v>
      </c>
      <c r="F42" t="s">
        <v>82</v>
      </c>
    </row>
    <row r="43" spans="1:6" x14ac:dyDescent="0.2">
      <c r="A43">
        <v>1042</v>
      </c>
      <c r="B43" s="1">
        <v>46171</v>
      </c>
      <c r="C43" t="s">
        <v>15</v>
      </c>
      <c r="D43">
        <v>21</v>
      </c>
      <c r="E43" t="s">
        <v>79</v>
      </c>
      <c r="F43" t="s">
        <v>80</v>
      </c>
    </row>
    <row r="44" spans="1:6" x14ac:dyDescent="0.2">
      <c r="A44">
        <v>1043</v>
      </c>
      <c r="B44" s="1">
        <v>46171</v>
      </c>
      <c r="C44" t="s">
        <v>48</v>
      </c>
      <c r="D44">
        <v>34</v>
      </c>
      <c r="E44" t="s">
        <v>79</v>
      </c>
      <c r="F44" t="s">
        <v>80</v>
      </c>
    </row>
    <row r="45" spans="1:6" x14ac:dyDescent="0.2">
      <c r="A45">
        <v>1044</v>
      </c>
      <c r="B45" s="1">
        <v>46176</v>
      </c>
      <c r="C45" t="s">
        <v>27</v>
      </c>
      <c r="D45">
        <v>63</v>
      </c>
      <c r="E45" t="s">
        <v>79</v>
      </c>
      <c r="F45" t="s">
        <v>82</v>
      </c>
    </row>
    <row r="46" spans="1:6" x14ac:dyDescent="0.2">
      <c r="A46">
        <v>1045</v>
      </c>
      <c r="B46" s="1">
        <v>46171</v>
      </c>
      <c r="C46" t="s">
        <v>27</v>
      </c>
      <c r="D46">
        <v>10</v>
      </c>
      <c r="E46" t="s">
        <v>79</v>
      </c>
      <c r="F46" t="s">
        <v>80</v>
      </c>
    </row>
    <row r="47" spans="1:6" x14ac:dyDescent="0.2">
      <c r="A47">
        <v>1046</v>
      </c>
      <c r="B47" s="1">
        <v>46160</v>
      </c>
      <c r="C47" t="s">
        <v>11</v>
      </c>
      <c r="D47">
        <v>43</v>
      </c>
      <c r="E47" t="s">
        <v>77</v>
      </c>
      <c r="F47" t="s">
        <v>78</v>
      </c>
    </row>
    <row r="48" spans="1:6" x14ac:dyDescent="0.2">
      <c r="A48">
        <v>1047</v>
      </c>
      <c r="B48" s="1">
        <v>46148</v>
      </c>
      <c r="C48" t="s">
        <v>15</v>
      </c>
      <c r="D48">
        <v>18</v>
      </c>
      <c r="E48" t="s">
        <v>77</v>
      </c>
      <c r="F48" t="s">
        <v>78</v>
      </c>
    </row>
    <row r="49" spans="1:6" x14ac:dyDescent="0.2">
      <c r="A49">
        <v>1048</v>
      </c>
      <c r="B49" s="1">
        <v>46152</v>
      </c>
      <c r="C49" t="s">
        <v>32</v>
      </c>
      <c r="D49">
        <v>28</v>
      </c>
      <c r="E49" t="s">
        <v>77</v>
      </c>
      <c r="F49" t="s">
        <v>78</v>
      </c>
    </row>
    <row r="50" spans="1:6" x14ac:dyDescent="0.2">
      <c r="A50">
        <v>1049</v>
      </c>
      <c r="B50" s="1">
        <v>46164</v>
      </c>
      <c r="C50" t="s">
        <v>64</v>
      </c>
      <c r="D50">
        <v>70</v>
      </c>
      <c r="E50" t="s">
        <v>79</v>
      </c>
      <c r="F50" t="s">
        <v>82</v>
      </c>
    </row>
    <row r="51" spans="1:6" x14ac:dyDescent="0.2">
      <c r="A51">
        <v>1050</v>
      </c>
      <c r="B51" s="1">
        <v>46156</v>
      </c>
      <c r="C51" t="s">
        <v>18</v>
      </c>
      <c r="D51">
        <v>54</v>
      </c>
      <c r="E51" t="s">
        <v>77</v>
      </c>
      <c r="F51" t="s">
        <v>78</v>
      </c>
    </row>
    <row r="52" spans="1:6" x14ac:dyDescent="0.2">
      <c r="A52">
        <v>1051</v>
      </c>
      <c r="B52" s="1">
        <v>46144</v>
      </c>
      <c r="C52" t="s">
        <v>46</v>
      </c>
      <c r="D52">
        <v>74</v>
      </c>
      <c r="E52" t="s">
        <v>77</v>
      </c>
      <c r="F52" t="s">
        <v>78</v>
      </c>
    </row>
    <row r="53" spans="1:6" x14ac:dyDescent="0.2">
      <c r="A53">
        <v>1052</v>
      </c>
      <c r="B53" s="1">
        <v>46165</v>
      </c>
      <c r="C53" t="s">
        <v>25</v>
      </c>
      <c r="D53">
        <v>39</v>
      </c>
      <c r="E53" t="s">
        <v>79</v>
      </c>
      <c r="F53" t="s">
        <v>80</v>
      </c>
    </row>
    <row r="54" spans="1:6" x14ac:dyDescent="0.2">
      <c r="A54">
        <v>1053</v>
      </c>
      <c r="B54" s="1">
        <v>46177</v>
      </c>
      <c r="C54" t="s">
        <v>64</v>
      </c>
      <c r="D54">
        <v>70</v>
      </c>
      <c r="E54" t="s">
        <v>79</v>
      </c>
      <c r="F54" t="s">
        <v>82</v>
      </c>
    </row>
    <row r="55" spans="1:6" x14ac:dyDescent="0.2">
      <c r="A55">
        <v>1054</v>
      </c>
      <c r="B55" s="1">
        <v>46174</v>
      </c>
      <c r="C55" t="s">
        <v>11</v>
      </c>
      <c r="D55">
        <v>29</v>
      </c>
      <c r="E55" t="s">
        <v>77</v>
      </c>
      <c r="F55" t="s">
        <v>78</v>
      </c>
    </row>
    <row r="56" spans="1:6" x14ac:dyDescent="0.2">
      <c r="A56">
        <v>1055</v>
      </c>
      <c r="B56" s="1">
        <v>46144</v>
      </c>
      <c r="C56" t="s">
        <v>48</v>
      </c>
      <c r="D56">
        <v>50</v>
      </c>
      <c r="E56" t="s">
        <v>77</v>
      </c>
      <c r="F56" t="s">
        <v>78</v>
      </c>
    </row>
    <row r="57" spans="1:6" x14ac:dyDescent="0.2">
      <c r="A57">
        <v>1056</v>
      </c>
      <c r="B57" s="1">
        <v>46153</v>
      </c>
      <c r="C57" t="s">
        <v>32</v>
      </c>
      <c r="D57">
        <v>60</v>
      </c>
      <c r="E57" t="s">
        <v>81</v>
      </c>
      <c r="F57" t="s">
        <v>82</v>
      </c>
    </row>
    <row r="58" spans="1:6" x14ac:dyDescent="0.2">
      <c r="A58">
        <v>1057</v>
      </c>
      <c r="B58" s="1">
        <v>46177</v>
      </c>
      <c r="C58" t="s">
        <v>35</v>
      </c>
      <c r="D58">
        <v>4</v>
      </c>
      <c r="E58" t="s">
        <v>81</v>
      </c>
      <c r="F58" t="s">
        <v>82</v>
      </c>
    </row>
    <row r="59" spans="1:6" x14ac:dyDescent="0.2">
      <c r="A59">
        <v>1058</v>
      </c>
      <c r="B59" s="1">
        <v>46144</v>
      </c>
      <c r="C59" t="s">
        <v>46</v>
      </c>
      <c r="D59">
        <v>11</v>
      </c>
      <c r="E59" t="s">
        <v>79</v>
      </c>
      <c r="F59" t="s">
        <v>80</v>
      </c>
    </row>
    <row r="60" spans="1:6" x14ac:dyDescent="0.2">
      <c r="A60">
        <v>1059</v>
      </c>
      <c r="B60" s="1">
        <v>46172</v>
      </c>
      <c r="C60" t="s">
        <v>50</v>
      </c>
      <c r="D60">
        <v>24</v>
      </c>
      <c r="E60" t="s">
        <v>77</v>
      </c>
      <c r="F60" t="s">
        <v>78</v>
      </c>
    </row>
    <row r="61" spans="1:6" x14ac:dyDescent="0.2">
      <c r="A61">
        <v>1060</v>
      </c>
      <c r="B61" s="1">
        <v>46163</v>
      </c>
      <c r="C61" t="s">
        <v>32</v>
      </c>
      <c r="D61">
        <v>28</v>
      </c>
      <c r="E61" t="s">
        <v>79</v>
      </c>
      <c r="F61" t="s">
        <v>80</v>
      </c>
    </row>
    <row r="62" spans="1:6" x14ac:dyDescent="0.2">
      <c r="A62">
        <v>1061</v>
      </c>
      <c r="B62" s="1">
        <v>46167</v>
      </c>
      <c r="C62" t="s">
        <v>43</v>
      </c>
      <c r="D62">
        <v>36</v>
      </c>
      <c r="E62" t="s">
        <v>79</v>
      </c>
      <c r="F62" t="s">
        <v>80</v>
      </c>
    </row>
    <row r="63" spans="1:6" x14ac:dyDescent="0.2">
      <c r="A63">
        <v>1062</v>
      </c>
      <c r="B63" s="1">
        <v>46159</v>
      </c>
      <c r="C63" t="s">
        <v>64</v>
      </c>
      <c r="D63">
        <v>11</v>
      </c>
      <c r="E63" t="s">
        <v>79</v>
      </c>
      <c r="F63" t="s">
        <v>80</v>
      </c>
    </row>
    <row r="64" spans="1:6" x14ac:dyDescent="0.2">
      <c r="A64">
        <v>1063</v>
      </c>
      <c r="B64" s="1">
        <v>46146</v>
      </c>
      <c r="C64" t="s">
        <v>15</v>
      </c>
      <c r="D64">
        <v>45</v>
      </c>
      <c r="E64" t="s">
        <v>77</v>
      </c>
      <c r="F64" t="s">
        <v>78</v>
      </c>
    </row>
    <row r="65" spans="1:6" x14ac:dyDescent="0.2">
      <c r="A65">
        <v>1064</v>
      </c>
      <c r="B65" s="1">
        <v>46145</v>
      </c>
      <c r="C65" t="s">
        <v>37</v>
      </c>
      <c r="D65">
        <v>4</v>
      </c>
      <c r="E65" t="s">
        <v>81</v>
      </c>
      <c r="F65" t="s">
        <v>82</v>
      </c>
    </row>
    <row r="66" spans="1:6" x14ac:dyDescent="0.2">
      <c r="A66">
        <v>1065</v>
      </c>
      <c r="B66" s="1">
        <v>46144</v>
      </c>
      <c r="C66" t="s">
        <v>56</v>
      </c>
      <c r="D66">
        <v>80</v>
      </c>
      <c r="E66" t="s">
        <v>77</v>
      </c>
      <c r="F66" t="s">
        <v>78</v>
      </c>
    </row>
    <row r="67" spans="1:6" x14ac:dyDescent="0.2">
      <c r="A67">
        <v>1066</v>
      </c>
      <c r="B67" s="1">
        <v>46173</v>
      </c>
      <c r="C67" t="s">
        <v>50</v>
      </c>
      <c r="D67">
        <v>86</v>
      </c>
      <c r="E67" t="s">
        <v>77</v>
      </c>
      <c r="F67" t="s">
        <v>78</v>
      </c>
    </row>
    <row r="68" spans="1:6" x14ac:dyDescent="0.2">
      <c r="A68">
        <v>1067</v>
      </c>
      <c r="B68" s="1">
        <v>46172</v>
      </c>
      <c r="C68" t="s">
        <v>56</v>
      </c>
      <c r="D68">
        <v>90</v>
      </c>
      <c r="E68" t="s">
        <v>77</v>
      </c>
      <c r="F68" t="s">
        <v>78</v>
      </c>
    </row>
    <row r="69" spans="1:6" x14ac:dyDescent="0.2">
      <c r="A69">
        <v>1068</v>
      </c>
      <c r="B69" s="1">
        <v>46153</v>
      </c>
      <c r="C69" t="s">
        <v>28</v>
      </c>
      <c r="D69">
        <v>78</v>
      </c>
      <c r="E69" t="s">
        <v>79</v>
      </c>
      <c r="F69" t="s">
        <v>82</v>
      </c>
    </row>
    <row r="70" spans="1:6" x14ac:dyDescent="0.2">
      <c r="A70">
        <v>1069</v>
      </c>
      <c r="B70" s="1">
        <v>46153</v>
      </c>
      <c r="C70" t="s">
        <v>7</v>
      </c>
      <c r="D70">
        <v>40</v>
      </c>
      <c r="E70" t="s">
        <v>77</v>
      </c>
      <c r="F70" t="s">
        <v>78</v>
      </c>
    </row>
    <row r="71" spans="1:6" x14ac:dyDescent="0.2">
      <c r="A71">
        <v>1070</v>
      </c>
      <c r="B71" s="1">
        <v>46162</v>
      </c>
      <c r="C71" t="s">
        <v>25</v>
      </c>
      <c r="D71">
        <v>74</v>
      </c>
      <c r="E71" t="s">
        <v>79</v>
      </c>
      <c r="F71" t="s">
        <v>82</v>
      </c>
    </row>
    <row r="72" spans="1:6" x14ac:dyDescent="0.2">
      <c r="A72">
        <v>1071</v>
      </c>
      <c r="B72" s="1">
        <v>46168</v>
      </c>
      <c r="C72" t="s">
        <v>32</v>
      </c>
      <c r="D72">
        <v>26</v>
      </c>
      <c r="E72" t="s">
        <v>77</v>
      </c>
      <c r="F72" t="s">
        <v>78</v>
      </c>
    </row>
    <row r="73" spans="1:6" x14ac:dyDescent="0.2">
      <c r="A73">
        <v>1072</v>
      </c>
      <c r="B73" s="1">
        <v>46149</v>
      </c>
      <c r="C73" t="s">
        <v>11</v>
      </c>
      <c r="D73">
        <v>90</v>
      </c>
      <c r="E73" t="s">
        <v>79</v>
      </c>
      <c r="F73" t="s">
        <v>82</v>
      </c>
    </row>
    <row r="74" spans="1:6" x14ac:dyDescent="0.2">
      <c r="A74">
        <v>1073</v>
      </c>
      <c r="B74" s="1">
        <v>46150</v>
      </c>
      <c r="C74" t="s">
        <v>35</v>
      </c>
      <c r="D74">
        <v>73</v>
      </c>
      <c r="E74" t="s">
        <v>79</v>
      </c>
      <c r="F74" t="s">
        <v>82</v>
      </c>
    </row>
    <row r="75" spans="1:6" x14ac:dyDescent="0.2">
      <c r="A75">
        <v>1074</v>
      </c>
      <c r="B75" s="1">
        <v>46177</v>
      </c>
      <c r="C75" t="s">
        <v>28</v>
      </c>
      <c r="D75">
        <v>55</v>
      </c>
      <c r="E75" t="s">
        <v>79</v>
      </c>
      <c r="F75" t="s">
        <v>80</v>
      </c>
    </row>
    <row r="76" spans="1:6" x14ac:dyDescent="0.2">
      <c r="A76">
        <v>1075</v>
      </c>
      <c r="B76" s="1">
        <v>46175</v>
      </c>
      <c r="C76" t="s">
        <v>37</v>
      </c>
      <c r="D76">
        <v>83</v>
      </c>
      <c r="E76" t="s">
        <v>77</v>
      </c>
      <c r="F76" t="s">
        <v>78</v>
      </c>
    </row>
    <row r="77" spans="1:6" x14ac:dyDescent="0.2">
      <c r="A77">
        <v>1076</v>
      </c>
      <c r="B77" s="1">
        <v>46174</v>
      </c>
      <c r="C77" t="s">
        <v>64</v>
      </c>
      <c r="D77">
        <v>14</v>
      </c>
      <c r="E77" t="s">
        <v>77</v>
      </c>
      <c r="F77" t="s">
        <v>78</v>
      </c>
    </row>
    <row r="78" spans="1:6" x14ac:dyDescent="0.2">
      <c r="A78">
        <v>1077</v>
      </c>
      <c r="B78" s="1">
        <v>46172</v>
      </c>
      <c r="C78" t="s">
        <v>28</v>
      </c>
      <c r="D78">
        <v>20</v>
      </c>
      <c r="E78" t="s">
        <v>77</v>
      </c>
      <c r="F78" t="s">
        <v>78</v>
      </c>
    </row>
    <row r="79" spans="1:6" x14ac:dyDescent="0.2">
      <c r="A79">
        <v>1078</v>
      </c>
      <c r="B79" s="1">
        <v>46160</v>
      </c>
      <c r="C79" t="s">
        <v>61</v>
      </c>
      <c r="D79">
        <v>79</v>
      </c>
      <c r="E79" t="s">
        <v>81</v>
      </c>
      <c r="F79" t="s">
        <v>82</v>
      </c>
    </row>
    <row r="80" spans="1:6" x14ac:dyDescent="0.2">
      <c r="A80">
        <v>1079</v>
      </c>
      <c r="B80" s="1">
        <v>46173</v>
      </c>
      <c r="C80" t="s">
        <v>15</v>
      </c>
      <c r="D80">
        <v>60</v>
      </c>
      <c r="E80" t="s">
        <v>77</v>
      </c>
      <c r="F80" t="s">
        <v>78</v>
      </c>
    </row>
    <row r="81" spans="1:6" x14ac:dyDescent="0.2">
      <c r="A81">
        <v>1080</v>
      </c>
      <c r="B81" s="1">
        <v>46160</v>
      </c>
      <c r="C81" t="s">
        <v>46</v>
      </c>
      <c r="D81">
        <v>42</v>
      </c>
      <c r="E81" t="s">
        <v>81</v>
      </c>
      <c r="F81" t="s">
        <v>82</v>
      </c>
    </row>
    <row r="82" spans="1:6" x14ac:dyDescent="0.2">
      <c r="A82">
        <v>1081</v>
      </c>
      <c r="B82" s="1">
        <v>46160</v>
      </c>
      <c r="C82" t="s">
        <v>37</v>
      </c>
      <c r="D82">
        <v>58</v>
      </c>
      <c r="E82" t="s">
        <v>77</v>
      </c>
      <c r="F82" t="s">
        <v>78</v>
      </c>
    </row>
    <row r="83" spans="1:6" x14ac:dyDescent="0.2">
      <c r="A83">
        <v>1082</v>
      </c>
      <c r="B83" s="1">
        <v>46167</v>
      </c>
      <c r="C83" t="s">
        <v>41</v>
      </c>
      <c r="D83">
        <v>44</v>
      </c>
      <c r="E83" t="s">
        <v>77</v>
      </c>
      <c r="F83" t="s">
        <v>78</v>
      </c>
    </row>
    <row r="84" spans="1:6" x14ac:dyDescent="0.2">
      <c r="A84">
        <v>1083</v>
      </c>
      <c r="B84" s="1">
        <v>46154</v>
      </c>
      <c r="C84" t="s">
        <v>43</v>
      </c>
      <c r="D84">
        <v>63</v>
      </c>
      <c r="E84" t="s">
        <v>77</v>
      </c>
      <c r="F84" t="s">
        <v>78</v>
      </c>
    </row>
    <row r="85" spans="1:6" x14ac:dyDescent="0.2">
      <c r="A85">
        <v>1084</v>
      </c>
      <c r="B85" s="1">
        <v>46164</v>
      </c>
      <c r="C85" t="s">
        <v>27</v>
      </c>
      <c r="D85">
        <v>36</v>
      </c>
      <c r="E85" t="s">
        <v>81</v>
      </c>
      <c r="F85" t="s">
        <v>82</v>
      </c>
    </row>
    <row r="86" spans="1:6" x14ac:dyDescent="0.2">
      <c r="A86">
        <v>1085</v>
      </c>
      <c r="B86" s="1">
        <v>46178</v>
      </c>
      <c r="C86" t="s">
        <v>27</v>
      </c>
      <c r="D86">
        <v>2</v>
      </c>
      <c r="E86" t="s">
        <v>79</v>
      </c>
      <c r="F86" t="s">
        <v>80</v>
      </c>
    </row>
    <row r="87" spans="1:6" x14ac:dyDescent="0.2">
      <c r="A87">
        <v>1086</v>
      </c>
      <c r="B87" s="1">
        <v>46148</v>
      </c>
      <c r="C87" t="s">
        <v>56</v>
      </c>
      <c r="D87">
        <v>31</v>
      </c>
      <c r="E87" t="s">
        <v>79</v>
      </c>
      <c r="F87" t="s">
        <v>80</v>
      </c>
    </row>
    <row r="88" spans="1:6" x14ac:dyDescent="0.2">
      <c r="A88">
        <v>1087</v>
      </c>
      <c r="B88" s="1">
        <v>46178</v>
      </c>
      <c r="C88" t="s">
        <v>48</v>
      </c>
      <c r="D88">
        <v>31</v>
      </c>
      <c r="E88" t="s">
        <v>79</v>
      </c>
      <c r="F88" t="s">
        <v>80</v>
      </c>
    </row>
    <row r="89" spans="1:6" x14ac:dyDescent="0.2">
      <c r="A89">
        <v>1088</v>
      </c>
      <c r="B89" s="1">
        <v>46171</v>
      </c>
      <c r="C89" t="s">
        <v>48</v>
      </c>
      <c r="D89">
        <v>3</v>
      </c>
      <c r="E89" t="s">
        <v>77</v>
      </c>
      <c r="F89" t="s">
        <v>78</v>
      </c>
    </row>
    <row r="90" spans="1:6" x14ac:dyDescent="0.2">
      <c r="A90">
        <v>1089</v>
      </c>
      <c r="B90" s="1">
        <v>46168</v>
      </c>
      <c r="C90" t="s">
        <v>11</v>
      </c>
      <c r="D90">
        <v>89</v>
      </c>
      <c r="E90" t="s">
        <v>77</v>
      </c>
      <c r="F90" t="s">
        <v>78</v>
      </c>
    </row>
    <row r="91" spans="1:6" x14ac:dyDescent="0.2">
      <c r="A91">
        <v>1090</v>
      </c>
      <c r="B91" s="1">
        <v>46166</v>
      </c>
      <c r="C91" t="s">
        <v>46</v>
      </c>
      <c r="D91">
        <v>61</v>
      </c>
      <c r="E91" t="s">
        <v>79</v>
      </c>
      <c r="F91" t="s">
        <v>82</v>
      </c>
    </row>
    <row r="92" spans="1:6" x14ac:dyDescent="0.2">
      <c r="A92">
        <v>1091</v>
      </c>
      <c r="B92" s="1">
        <v>46170</v>
      </c>
      <c r="C92" t="s">
        <v>28</v>
      </c>
      <c r="D92">
        <v>71</v>
      </c>
      <c r="E92" t="s">
        <v>77</v>
      </c>
      <c r="F92" t="s">
        <v>78</v>
      </c>
    </row>
    <row r="93" spans="1:6" x14ac:dyDescent="0.2">
      <c r="A93">
        <v>1092</v>
      </c>
      <c r="B93" s="1">
        <v>46160</v>
      </c>
      <c r="C93" t="s">
        <v>41</v>
      </c>
      <c r="D93">
        <v>40</v>
      </c>
      <c r="E93" t="s">
        <v>77</v>
      </c>
      <c r="F93" t="s">
        <v>78</v>
      </c>
    </row>
    <row r="94" spans="1:6" x14ac:dyDescent="0.2">
      <c r="A94">
        <v>1093</v>
      </c>
      <c r="B94" s="1">
        <v>46155</v>
      </c>
      <c r="C94" t="s">
        <v>7</v>
      </c>
      <c r="D94">
        <v>41</v>
      </c>
      <c r="E94" t="s">
        <v>77</v>
      </c>
      <c r="F94" t="s">
        <v>78</v>
      </c>
    </row>
    <row r="95" spans="1:6" x14ac:dyDescent="0.2">
      <c r="A95">
        <v>1094</v>
      </c>
      <c r="B95" s="1">
        <v>46154</v>
      </c>
      <c r="C95" t="s">
        <v>15</v>
      </c>
      <c r="D95">
        <v>25</v>
      </c>
      <c r="E95" t="s">
        <v>77</v>
      </c>
      <c r="F95" t="s">
        <v>78</v>
      </c>
    </row>
    <row r="96" spans="1:6" x14ac:dyDescent="0.2">
      <c r="A96">
        <v>1095</v>
      </c>
      <c r="B96" s="1">
        <v>46160</v>
      </c>
      <c r="C96" t="s">
        <v>48</v>
      </c>
      <c r="D96">
        <v>76</v>
      </c>
      <c r="E96" t="s">
        <v>81</v>
      </c>
      <c r="F96" t="s">
        <v>82</v>
      </c>
    </row>
    <row r="97" spans="1:6" x14ac:dyDescent="0.2">
      <c r="A97">
        <v>1096</v>
      </c>
      <c r="B97" s="1">
        <v>46161</v>
      </c>
      <c r="C97" t="s">
        <v>61</v>
      </c>
      <c r="D97">
        <v>13</v>
      </c>
      <c r="E97" t="s">
        <v>81</v>
      </c>
      <c r="F97" t="s">
        <v>82</v>
      </c>
    </row>
    <row r="98" spans="1:6" x14ac:dyDescent="0.2">
      <c r="A98">
        <v>1097</v>
      </c>
      <c r="B98" s="1">
        <v>46157</v>
      </c>
      <c r="C98" t="s">
        <v>60</v>
      </c>
      <c r="D98">
        <v>47</v>
      </c>
      <c r="E98" t="s">
        <v>77</v>
      </c>
      <c r="F98" t="s">
        <v>78</v>
      </c>
    </row>
    <row r="99" spans="1:6" x14ac:dyDescent="0.2">
      <c r="A99">
        <v>1098</v>
      </c>
      <c r="B99" s="1">
        <v>46177</v>
      </c>
      <c r="C99" t="s">
        <v>25</v>
      </c>
      <c r="D99">
        <v>17</v>
      </c>
      <c r="E99" t="s">
        <v>77</v>
      </c>
      <c r="F99" t="s">
        <v>78</v>
      </c>
    </row>
    <row r="100" spans="1:6" x14ac:dyDescent="0.2">
      <c r="A100">
        <v>1099</v>
      </c>
      <c r="B100" s="1">
        <v>46178</v>
      </c>
      <c r="C100" t="s">
        <v>18</v>
      </c>
      <c r="D100">
        <v>38</v>
      </c>
      <c r="E100" t="s">
        <v>79</v>
      </c>
      <c r="F100" t="s">
        <v>80</v>
      </c>
    </row>
    <row r="101" spans="1:6" x14ac:dyDescent="0.2">
      <c r="A101">
        <v>1100</v>
      </c>
      <c r="B101" s="1">
        <v>46174</v>
      </c>
      <c r="C101" t="s">
        <v>50</v>
      </c>
      <c r="D101">
        <v>14</v>
      </c>
      <c r="E101" t="s">
        <v>81</v>
      </c>
      <c r="F101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34D2-2AF8-774C-9177-611D1A72B971}">
  <dimension ref="A1:B21"/>
  <sheetViews>
    <sheetView workbookViewId="0">
      <selection activeCell="D19" sqref="D19"/>
    </sheetView>
  </sheetViews>
  <sheetFormatPr baseColWidth="10" defaultRowHeight="16" x14ac:dyDescent="0.2"/>
  <cols>
    <col min="1" max="1" width="17.5" bestFit="1" customWidth="1"/>
    <col min="2" max="2" width="12.33203125" bestFit="1" customWidth="1"/>
  </cols>
  <sheetData>
    <row r="1" spans="1:2" x14ac:dyDescent="0.2">
      <c r="A1" t="s">
        <v>1</v>
      </c>
      <c r="B1" t="s">
        <v>83</v>
      </c>
    </row>
    <row r="2" spans="1:2" x14ac:dyDescent="0.2">
      <c r="A2" t="s">
        <v>46</v>
      </c>
      <c r="B2">
        <v>346</v>
      </c>
    </row>
    <row r="3" spans="1:2" x14ac:dyDescent="0.2">
      <c r="A3" t="s">
        <v>48</v>
      </c>
      <c r="B3">
        <v>317</v>
      </c>
    </row>
    <row r="4" spans="1:2" x14ac:dyDescent="0.2">
      <c r="A4" t="s">
        <v>39</v>
      </c>
      <c r="B4">
        <v>313</v>
      </c>
    </row>
    <row r="5" spans="1:2" x14ac:dyDescent="0.2">
      <c r="A5" t="s">
        <v>32</v>
      </c>
      <c r="B5">
        <v>123</v>
      </c>
    </row>
    <row r="6" spans="1:2" x14ac:dyDescent="0.2">
      <c r="A6" t="s">
        <v>50</v>
      </c>
      <c r="B6">
        <v>368</v>
      </c>
    </row>
    <row r="7" spans="1:2" x14ac:dyDescent="0.2">
      <c r="A7" t="s">
        <v>11</v>
      </c>
      <c r="B7">
        <v>183</v>
      </c>
    </row>
    <row r="8" spans="1:2" x14ac:dyDescent="0.2">
      <c r="A8" t="s">
        <v>64</v>
      </c>
      <c r="B8">
        <v>301</v>
      </c>
    </row>
    <row r="9" spans="1:2" x14ac:dyDescent="0.2">
      <c r="A9" t="s">
        <v>61</v>
      </c>
      <c r="B9">
        <v>122</v>
      </c>
    </row>
    <row r="10" spans="1:2" x14ac:dyDescent="0.2">
      <c r="A10" t="s">
        <v>41</v>
      </c>
      <c r="B10">
        <v>487</v>
      </c>
    </row>
    <row r="11" spans="1:2" x14ac:dyDescent="0.2">
      <c r="A11" t="s">
        <v>35</v>
      </c>
      <c r="B11">
        <v>201</v>
      </c>
    </row>
    <row r="12" spans="1:2" x14ac:dyDescent="0.2">
      <c r="A12" t="s">
        <v>7</v>
      </c>
      <c r="B12">
        <v>280</v>
      </c>
    </row>
    <row r="13" spans="1:2" x14ac:dyDescent="0.2">
      <c r="A13" t="s">
        <v>56</v>
      </c>
      <c r="B13">
        <v>181</v>
      </c>
    </row>
    <row r="14" spans="1:2" x14ac:dyDescent="0.2">
      <c r="A14" t="s">
        <v>37</v>
      </c>
      <c r="B14">
        <v>168</v>
      </c>
    </row>
    <row r="15" spans="1:2" x14ac:dyDescent="0.2">
      <c r="A15" t="s">
        <v>18</v>
      </c>
      <c r="B15">
        <v>199</v>
      </c>
    </row>
    <row r="16" spans="1:2" x14ac:dyDescent="0.2">
      <c r="A16" t="s">
        <v>60</v>
      </c>
      <c r="B16">
        <v>405</v>
      </c>
    </row>
    <row r="17" spans="1:2" x14ac:dyDescent="0.2">
      <c r="A17" t="s">
        <v>43</v>
      </c>
      <c r="B17">
        <v>299</v>
      </c>
    </row>
    <row r="18" spans="1:2" x14ac:dyDescent="0.2">
      <c r="A18" t="s">
        <v>27</v>
      </c>
      <c r="B18">
        <v>309</v>
      </c>
    </row>
    <row r="19" spans="1:2" x14ac:dyDescent="0.2">
      <c r="A19" t="s">
        <v>28</v>
      </c>
      <c r="B19">
        <v>251</v>
      </c>
    </row>
    <row r="20" spans="1:2" x14ac:dyDescent="0.2">
      <c r="A20" t="s">
        <v>15</v>
      </c>
      <c r="B20">
        <v>203</v>
      </c>
    </row>
    <row r="21" spans="1:2" x14ac:dyDescent="0.2">
      <c r="A21" t="s">
        <v>25</v>
      </c>
      <c r="B21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5BD6-37AC-A549-8C1E-876BA7763D4D}">
  <dimension ref="C2:D9"/>
  <sheetViews>
    <sheetView workbookViewId="0">
      <selection activeCell="F14" sqref="F14"/>
    </sheetView>
  </sheetViews>
  <sheetFormatPr baseColWidth="10" defaultRowHeight="16" x14ac:dyDescent="0.2"/>
  <cols>
    <col min="3" max="3" width="31" customWidth="1"/>
  </cols>
  <sheetData>
    <row r="2" spans="3:4" x14ac:dyDescent="0.2">
      <c r="C2" t="s">
        <v>84</v>
      </c>
      <c r="D2" t="s">
        <v>85</v>
      </c>
    </row>
    <row r="3" spans="3:4" x14ac:dyDescent="0.2">
      <c r="C3" t="s">
        <v>86</v>
      </c>
      <c r="D3" cm="1">
        <f t="array" ref="D3">COUNTA(_xlfn.UNIQUE(_xlfn._xlws.FILTER(InventairePQ!B:B,InventairePQ!B:B&lt;&gt;"Produit")))</f>
        <v>21</v>
      </c>
    </row>
    <row r="4" spans="3:4" x14ac:dyDescent="0.2">
      <c r="C4" t="s">
        <v>87</v>
      </c>
      <c r="D4">
        <f>COUNTIF(InventairePQ!G:G,"Stock Critique")</f>
        <v>14</v>
      </c>
    </row>
    <row r="5" spans="3:4" x14ac:dyDescent="0.2">
      <c r="C5" t="s">
        <v>88</v>
      </c>
      <c r="D5">
        <f>COUNTIF(InventairePQ!G:G,"Stock Faible")</f>
        <v>6</v>
      </c>
    </row>
    <row r="6" spans="3:4" x14ac:dyDescent="0.2">
      <c r="C6" t="s">
        <v>89</v>
      </c>
      <c r="D6">
        <f>COUNTIF('CommandesPQ'!E:E,"En retard")</f>
        <v>21</v>
      </c>
    </row>
    <row r="7" spans="3:4" x14ac:dyDescent="0.2">
      <c r="C7" t="s">
        <v>90</v>
      </c>
      <c r="D7">
        <f>COUNTIF('CommandesPQ'!F:F,"Haute Priorité")</f>
        <v>34</v>
      </c>
    </row>
    <row r="8" spans="3:4" x14ac:dyDescent="0.2">
      <c r="C8" t="s">
        <v>91</v>
      </c>
      <c r="D8">
        <f>SUM('CommandesPQ'!D:D)</f>
        <v>4386</v>
      </c>
    </row>
    <row r="9" spans="3:4" x14ac:dyDescent="0.2">
      <c r="C9" t="s">
        <v>92</v>
      </c>
      <c r="D9">
        <f>SUM('RéceptionsPQ'!B:B)</f>
        <v>5162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6110-9F65-2D48-A567-80E347D2DFFE}">
  <dimension ref="A3:B12"/>
  <sheetViews>
    <sheetView workbookViewId="0">
      <selection activeCell="G30" sqref="G30"/>
    </sheetView>
  </sheetViews>
  <sheetFormatPr baseColWidth="10" defaultRowHeight="16" x14ac:dyDescent="0.2"/>
  <cols>
    <col min="1" max="1" width="15.33203125" bestFit="1" customWidth="1"/>
    <col min="2" max="2" width="20.1640625" customWidth="1"/>
  </cols>
  <sheetData>
    <row r="3" spans="1:2" x14ac:dyDescent="0.2">
      <c r="A3" s="2" t="s">
        <v>94</v>
      </c>
      <c r="B3" t="s">
        <v>95</v>
      </c>
    </row>
    <row r="4" spans="1:2" x14ac:dyDescent="0.2">
      <c r="A4" s="4" t="s">
        <v>49</v>
      </c>
      <c r="B4" s="5">
        <v>400</v>
      </c>
    </row>
    <row r="5" spans="1:2" x14ac:dyDescent="0.2">
      <c r="A5" s="4" t="s">
        <v>16</v>
      </c>
      <c r="B5" s="5">
        <v>1164</v>
      </c>
    </row>
    <row r="6" spans="1:2" x14ac:dyDescent="0.2">
      <c r="A6" s="4" t="s">
        <v>57</v>
      </c>
      <c r="B6" s="5">
        <v>315</v>
      </c>
    </row>
    <row r="7" spans="1:2" x14ac:dyDescent="0.2">
      <c r="A7" s="4" t="s">
        <v>12</v>
      </c>
      <c r="B7" s="5">
        <v>2974</v>
      </c>
    </row>
    <row r="8" spans="1:2" x14ac:dyDescent="0.2">
      <c r="A8" s="4" t="s">
        <v>8</v>
      </c>
      <c r="B8" s="5">
        <v>681</v>
      </c>
    </row>
    <row r="9" spans="1:2" x14ac:dyDescent="0.2">
      <c r="A9" s="4" t="s">
        <v>33</v>
      </c>
      <c r="B9" s="5">
        <v>968</v>
      </c>
    </row>
    <row r="10" spans="1:2" x14ac:dyDescent="0.2">
      <c r="A10" s="4" t="s">
        <v>19</v>
      </c>
      <c r="B10" s="5">
        <v>1174</v>
      </c>
    </row>
    <row r="11" spans="1:2" x14ac:dyDescent="0.2">
      <c r="A11" s="4" t="s">
        <v>29</v>
      </c>
      <c r="B11" s="5">
        <v>856</v>
      </c>
    </row>
    <row r="12" spans="1:2" x14ac:dyDescent="0.2">
      <c r="A12" s="3" t="s">
        <v>93</v>
      </c>
      <c r="B12">
        <v>8532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7ECD-9EA0-414F-AA40-7E1F46BE6D3A}">
  <dimension ref="A3:B7"/>
  <sheetViews>
    <sheetView tabSelected="1" workbookViewId="0">
      <selection activeCell="D20" sqref="D20"/>
    </sheetView>
  </sheetViews>
  <sheetFormatPr baseColWidth="10" defaultRowHeight="16" x14ac:dyDescent="0.2"/>
  <cols>
    <col min="1" max="1" width="13" bestFit="1" customWidth="1"/>
    <col min="2" max="2" width="14.5" bestFit="1" customWidth="1"/>
  </cols>
  <sheetData>
    <row r="3" spans="1:2" x14ac:dyDescent="0.2">
      <c r="A3" s="2" t="s">
        <v>94</v>
      </c>
      <c r="B3" t="s">
        <v>98</v>
      </c>
    </row>
    <row r="4" spans="1:2" x14ac:dyDescent="0.2">
      <c r="A4" s="6" t="s">
        <v>14</v>
      </c>
      <c r="B4" s="7">
        <v>14</v>
      </c>
    </row>
    <row r="5" spans="1:2" x14ac:dyDescent="0.2">
      <c r="A5" s="10" t="s">
        <v>21</v>
      </c>
      <c r="B5" s="11">
        <v>6</v>
      </c>
    </row>
    <row r="6" spans="1:2" x14ac:dyDescent="0.2">
      <c r="A6" s="12" t="s">
        <v>10</v>
      </c>
      <c r="B6" s="13">
        <v>80</v>
      </c>
    </row>
    <row r="7" spans="1:2" x14ac:dyDescent="0.2">
      <c r="A7" s="3" t="s">
        <v>93</v>
      </c>
      <c r="B7">
        <v>100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16DD-356F-C24D-8AED-5AFA43864ADA}">
  <dimension ref="A3:B7"/>
  <sheetViews>
    <sheetView zoomScale="93" zoomScaleNormal="93" workbookViewId="0">
      <selection activeCell="K9" sqref="K9"/>
    </sheetView>
  </sheetViews>
  <sheetFormatPr baseColWidth="10" defaultRowHeight="16" x14ac:dyDescent="0.2"/>
  <cols>
    <col min="1" max="1" width="13" bestFit="1" customWidth="1"/>
    <col min="2" max="2" width="22" customWidth="1"/>
  </cols>
  <sheetData>
    <row r="3" spans="1:2" x14ac:dyDescent="0.2">
      <c r="A3" s="2" t="s">
        <v>94</v>
      </c>
      <c r="B3" t="s">
        <v>96</v>
      </c>
    </row>
    <row r="4" spans="1:2" x14ac:dyDescent="0.2">
      <c r="A4" s="12" t="s">
        <v>79</v>
      </c>
      <c r="B4" s="13">
        <v>37</v>
      </c>
    </row>
    <row r="5" spans="1:2" x14ac:dyDescent="0.2">
      <c r="A5" s="10" t="s">
        <v>81</v>
      </c>
      <c r="B5" s="11">
        <v>21</v>
      </c>
    </row>
    <row r="6" spans="1:2" x14ac:dyDescent="0.2">
      <c r="A6" s="14" t="s">
        <v>77</v>
      </c>
      <c r="B6" s="15">
        <v>42</v>
      </c>
    </row>
    <row r="7" spans="1:2" x14ac:dyDescent="0.2">
      <c r="A7" s="3" t="s">
        <v>93</v>
      </c>
      <c r="B7">
        <v>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6CBD-BDBC-5F4B-87F4-EDD7B12CFDDF}">
  <dimension ref="A3:B24"/>
  <sheetViews>
    <sheetView workbookViewId="0">
      <selection activeCell="N23" sqref="N23"/>
    </sheetView>
  </sheetViews>
  <sheetFormatPr baseColWidth="10" defaultRowHeight="16" x14ac:dyDescent="0.2"/>
  <cols>
    <col min="1" max="1" width="17.5" bestFit="1" customWidth="1"/>
    <col min="2" max="2" width="20.5" bestFit="1" customWidth="1"/>
  </cols>
  <sheetData>
    <row r="3" spans="1:2" x14ac:dyDescent="0.2">
      <c r="A3" s="2" t="s">
        <v>94</v>
      </c>
      <c r="B3" t="s">
        <v>97</v>
      </c>
    </row>
    <row r="4" spans="1:2" x14ac:dyDescent="0.2">
      <c r="A4" s="8" t="s">
        <v>43</v>
      </c>
      <c r="B4" s="9">
        <v>417</v>
      </c>
    </row>
    <row r="5" spans="1:2" x14ac:dyDescent="0.2">
      <c r="A5" s="16" t="s">
        <v>56</v>
      </c>
      <c r="B5" s="17">
        <v>399</v>
      </c>
    </row>
    <row r="6" spans="1:2" x14ac:dyDescent="0.2">
      <c r="A6" s="18" t="s">
        <v>11</v>
      </c>
      <c r="B6" s="19">
        <v>364</v>
      </c>
    </row>
    <row r="7" spans="1:2" x14ac:dyDescent="0.2">
      <c r="A7" s="20" t="s">
        <v>27</v>
      </c>
      <c r="B7" s="21">
        <v>283</v>
      </c>
    </row>
    <row r="8" spans="1:2" x14ac:dyDescent="0.2">
      <c r="A8" s="20" t="s">
        <v>28</v>
      </c>
      <c r="B8" s="21">
        <v>280</v>
      </c>
    </row>
    <row r="9" spans="1:2" x14ac:dyDescent="0.2">
      <c r="A9" s="20" t="s">
        <v>46</v>
      </c>
      <c r="B9" s="21">
        <v>278</v>
      </c>
    </row>
    <row r="10" spans="1:2" x14ac:dyDescent="0.2">
      <c r="A10" s="20" t="s">
        <v>32</v>
      </c>
      <c r="B10" s="21">
        <v>277</v>
      </c>
    </row>
    <row r="11" spans="1:2" x14ac:dyDescent="0.2">
      <c r="A11" s="20" t="s">
        <v>25</v>
      </c>
      <c r="B11" s="21">
        <v>254</v>
      </c>
    </row>
    <row r="12" spans="1:2" x14ac:dyDescent="0.2">
      <c r="A12" s="20" t="s">
        <v>48</v>
      </c>
      <c r="B12" s="21">
        <v>253</v>
      </c>
    </row>
    <row r="13" spans="1:2" x14ac:dyDescent="0.2">
      <c r="A13" s="20" t="s">
        <v>61</v>
      </c>
      <c r="B13" s="21">
        <v>226</v>
      </c>
    </row>
    <row r="14" spans="1:2" x14ac:dyDescent="0.2">
      <c r="A14" s="20" t="s">
        <v>64</v>
      </c>
      <c r="B14" s="21">
        <v>202</v>
      </c>
    </row>
    <row r="15" spans="1:2" x14ac:dyDescent="0.2">
      <c r="A15" s="20" t="s">
        <v>50</v>
      </c>
      <c r="B15" s="21">
        <v>184</v>
      </c>
    </row>
    <row r="16" spans="1:2" x14ac:dyDescent="0.2">
      <c r="A16" s="20" t="s">
        <v>7</v>
      </c>
      <c r="B16" s="21">
        <v>176</v>
      </c>
    </row>
    <row r="17" spans="1:2" x14ac:dyDescent="0.2">
      <c r="A17" s="20" t="s">
        <v>15</v>
      </c>
      <c r="B17" s="21">
        <v>173</v>
      </c>
    </row>
    <row r="18" spans="1:2" x14ac:dyDescent="0.2">
      <c r="A18" s="20" t="s">
        <v>37</v>
      </c>
      <c r="B18" s="21">
        <v>145</v>
      </c>
    </row>
    <row r="19" spans="1:2" x14ac:dyDescent="0.2">
      <c r="A19" s="20" t="s">
        <v>41</v>
      </c>
      <c r="B19" s="21">
        <v>139</v>
      </c>
    </row>
    <row r="20" spans="1:2" x14ac:dyDescent="0.2">
      <c r="A20" s="20" t="s">
        <v>18</v>
      </c>
      <c r="B20" s="21">
        <v>119</v>
      </c>
    </row>
    <row r="21" spans="1:2" x14ac:dyDescent="0.2">
      <c r="A21" s="20" t="s">
        <v>35</v>
      </c>
      <c r="B21" s="21">
        <v>89</v>
      </c>
    </row>
    <row r="22" spans="1:2" x14ac:dyDescent="0.2">
      <c r="A22" s="20" t="s">
        <v>60</v>
      </c>
      <c r="B22" s="21">
        <v>87</v>
      </c>
    </row>
    <row r="23" spans="1:2" x14ac:dyDescent="0.2">
      <c r="A23" s="20" t="s">
        <v>39</v>
      </c>
      <c r="B23" s="21">
        <v>41</v>
      </c>
    </row>
    <row r="24" spans="1:2" x14ac:dyDescent="0.2">
      <c r="A24" s="3" t="s">
        <v>93</v>
      </c>
      <c r="B24">
        <v>4386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F39685-ED51-1444-8325-376C6EBCC9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InventairePQ</vt:lpstr>
      <vt:lpstr>CommandesPQ</vt:lpstr>
      <vt:lpstr>RéceptionsPQ</vt:lpstr>
      <vt:lpstr>DashboardOperationnel(KPI)</vt:lpstr>
      <vt:lpstr>Somme du Stock Actuel</vt:lpstr>
      <vt:lpstr>Répartition de niveaux de stock</vt:lpstr>
      <vt:lpstr>Répartition des commandes</vt:lpstr>
      <vt:lpstr>Produits Plus Commandés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Ramez Fakhouri</dc:creator>
  <cp:lastModifiedBy>Saeed Ramez Fakhouri</cp:lastModifiedBy>
  <dcterms:created xsi:type="dcterms:W3CDTF">2026-06-10T20:20:36Z</dcterms:created>
  <dcterms:modified xsi:type="dcterms:W3CDTF">2026-06-10T21:11:15Z</dcterms:modified>
</cp:coreProperties>
</file>